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Алексей\dir\brand-pod-klyuch\lid-magnit\"/>
    </mc:Choice>
  </mc:AlternateContent>
  <xr:revisionPtr revIDLastSave="0" documentId="13_ncr:1_{CA6ABEDE-417A-46E4-AF99-53AA206963F7}" xr6:coauthVersionLast="47" xr6:coauthVersionMax="47" xr10:uidLastSave="{00000000-0000-0000-0000-000000000000}"/>
  <bookViews>
    <workbookView xWindow="20" yWindow="0" windowWidth="19180" windowHeight="10080" xr2:uid="{00000000-000D-0000-FFFF-FFFF00000000}"/>
  </bookViews>
  <sheets>
    <sheet name="Как пользоваться" sheetId="1" r:id="rId1"/>
    <sheet name="Итог" sheetId="2" r:id="rId2"/>
    <sheet name="Калькулятор" sheetId="3" r:id="rId3"/>
    <sheet name="Капсула" sheetId="4" r:id="rId4"/>
    <sheet name="Запуск" sheetId="5" r:id="rId5"/>
  </sheets>
  <calcPr calcId="191029"/>
</workbook>
</file>

<file path=xl/calcChain.xml><?xml version="1.0" encoding="utf-8"?>
<calcChain xmlns="http://schemas.openxmlformats.org/spreadsheetml/2006/main">
  <c r="C18" i="5" l="1"/>
  <c r="O15" i="4"/>
  <c r="N15" i="4"/>
  <c r="K15" i="4"/>
  <c r="E15" i="4"/>
  <c r="O14" i="4"/>
  <c r="N14" i="4"/>
  <c r="K14" i="4"/>
  <c r="E14" i="4"/>
  <c r="O13" i="4"/>
  <c r="N13" i="4"/>
  <c r="K13" i="4"/>
  <c r="E13" i="4"/>
  <c r="O12" i="4"/>
  <c r="N12" i="4"/>
  <c r="K12" i="4"/>
  <c r="E12" i="4"/>
  <c r="O11" i="4"/>
  <c r="N11" i="4"/>
  <c r="K11" i="4"/>
  <c r="E11" i="4"/>
  <c r="M10" i="4"/>
  <c r="L10" i="4"/>
  <c r="G10" i="4"/>
  <c r="F10" i="4"/>
  <c r="B10" i="4"/>
  <c r="M9" i="4"/>
  <c r="L9" i="4"/>
  <c r="G9" i="4"/>
  <c r="F9" i="4"/>
  <c r="B9" i="4"/>
  <c r="M8" i="4"/>
  <c r="L8" i="4"/>
  <c r="G8" i="4"/>
  <c r="F8" i="4"/>
  <c r="B8" i="4"/>
  <c r="M7" i="4"/>
  <c r="L7" i="4"/>
  <c r="G7" i="4"/>
  <c r="F7" i="4"/>
  <c r="B7" i="4"/>
  <c r="E7" i="4" s="1"/>
  <c r="D43" i="3" s="1"/>
  <c r="D44" i="3" s="1"/>
  <c r="M6" i="4"/>
  <c r="L6" i="4"/>
  <c r="I6" i="4"/>
  <c r="G6" i="4"/>
  <c r="F6" i="4"/>
  <c r="B6" i="4"/>
  <c r="G36" i="3"/>
  <c r="J10" i="4" s="1"/>
  <c r="F36" i="3"/>
  <c r="J9" i="4" s="1"/>
  <c r="E36" i="3"/>
  <c r="J8" i="4" s="1"/>
  <c r="D36" i="3"/>
  <c r="J7" i="4" s="1"/>
  <c r="C36" i="3"/>
  <c r="J6" i="4" s="1"/>
  <c r="G29" i="3"/>
  <c r="F29" i="3"/>
  <c r="I9" i="4" s="1"/>
  <c r="E29" i="3"/>
  <c r="I8" i="4" s="1"/>
  <c r="D29" i="3"/>
  <c r="I7" i="4" s="1"/>
  <c r="C29" i="3"/>
  <c r="G22" i="3"/>
  <c r="H10" i="4" s="1"/>
  <c r="F22" i="3"/>
  <c r="H9" i="4" s="1"/>
  <c r="E22" i="3"/>
  <c r="H8" i="4" s="1"/>
  <c r="D22" i="3"/>
  <c r="H7" i="4" s="1"/>
  <c r="C22" i="3"/>
  <c r="H6" i="4" s="1"/>
  <c r="G15" i="3"/>
  <c r="F15" i="3"/>
  <c r="F38" i="3" s="1"/>
  <c r="K9" i="4" s="1"/>
  <c r="E15" i="3"/>
  <c r="E38" i="3" s="1"/>
  <c r="E49" i="3" s="1"/>
  <c r="D15" i="3"/>
  <c r="C15" i="3"/>
  <c r="C38" i="3" s="1"/>
  <c r="C8" i="2"/>
  <c r="D38" i="3" l="1"/>
  <c r="G38" i="3"/>
  <c r="E9" i="4"/>
  <c r="F43" i="3" s="1"/>
  <c r="F44" i="3" s="1"/>
  <c r="F45" i="3" s="1"/>
  <c r="K7" i="4"/>
  <c r="O7" i="4" s="1"/>
  <c r="D45" i="3"/>
  <c r="D49" i="3"/>
  <c r="G49" i="3"/>
  <c r="K10" i="4"/>
  <c r="K6" i="4"/>
  <c r="C49" i="3"/>
  <c r="E51" i="3"/>
  <c r="E52" i="3"/>
  <c r="E53" i="3"/>
  <c r="E50" i="3"/>
  <c r="I10" i="4"/>
  <c r="N7" i="4"/>
  <c r="N9" i="4"/>
  <c r="K8" i="4"/>
  <c r="E6" i="4"/>
  <c r="E8" i="4"/>
  <c r="E43" i="3" s="1"/>
  <c r="E44" i="3" s="1"/>
  <c r="E45" i="3" s="1"/>
  <c r="E10" i="4"/>
  <c r="G43" i="3" s="1"/>
  <c r="G44" i="3" s="1"/>
  <c r="G45" i="3" s="1"/>
  <c r="F49" i="3"/>
  <c r="N6" i="4"/>
  <c r="N8" i="4"/>
  <c r="N10" i="4"/>
  <c r="O9" i="4" l="1"/>
  <c r="O6" i="4"/>
  <c r="O10" i="4"/>
  <c r="G50" i="3"/>
  <c r="G52" i="3"/>
  <c r="G53" i="3"/>
  <c r="G51" i="3"/>
  <c r="C43" i="3"/>
  <c r="C44" i="3" s="1"/>
  <c r="C45" i="3" s="1"/>
  <c r="E16" i="4"/>
  <c r="C13" i="2" s="1"/>
  <c r="C53" i="3"/>
  <c r="C51" i="3"/>
  <c r="C52" i="3"/>
  <c r="C50" i="3"/>
  <c r="O8" i="4"/>
  <c r="O16" i="4" s="1"/>
  <c r="C6" i="2" s="1"/>
  <c r="N16" i="4"/>
  <c r="C7" i="2" s="1"/>
  <c r="D51" i="3"/>
  <c r="D50" i="3"/>
  <c r="D52" i="3"/>
  <c r="D53" i="3"/>
  <c r="F52" i="3"/>
  <c r="F50" i="3"/>
  <c r="F53" i="3"/>
  <c r="F51" i="3"/>
  <c r="C10" i="2" l="1"/>
  <c r="C11" i="2" s="1"/>
  <c r="C14" i="2"/>
  <c r="C16" i="2" s="1"/>
  <c r="C20" i="2" l="1"/>
  <c r="C19" i="2"/>
  <c r="C21" i="2" s="1"/>
</calcChain>
</file>

<file path=xl/sharedStrings.xml><?xml version="1.0" encoding="utf-8"?>
<sst xmlns="http://schemas.openxmlformats.org/spreadsheetml/2006/main" count="185" uniqueCount="174">
  <si>
    <t>М А Н У Ф А К Т У Р А   4   ·   К У Р С   « Б Р Е Н Д   П О Д   К Л Ю Ч »</t>
  </si>
  <si>
    <t>СМЕТА ЗАПУСКА БРЕНДА ОДЕЖДЫ</t>
  </si>
  <si>
    <t>Анна Желтакова · соосновательница швейного производства «Мануфактура 4»</t>
  </si>
  <si>
    <t>З А Ч Е М   Э Т А   Т А Б Л И Ц А</t>
  </si>
  <si>
    <t>Первый вопрос, который мне задают: «Сколько нужно денег на бренд?». Таблица отвечает на него до того, как вы отдадите деньги фабрике.</t>
  </si>
  <si>
    <t>К А К   З А П О Л Н И Т Ь</t>
  </si>
  <si>
    <t>1. «Калькулятор»: себестоимость каждой модели по статьям — ткань и подкладка, фурнитура, раскрой, пошив, ВТО, ОТК, маркировка, упаковка. Внизу — розничная цена и сколько вы заработаете с вещи на сайте, маркетплейсе, в реализации и в опте.</t>
  </si>
  <si>
    <t>2. «Капсула»: сколько размеров и штук на размер шьёте. Модели 1–5 подтягиваются из калькулятора, модели 6–10 можно посчитать упрощённо.</t>
  </si>
  <si>
    <t>3. «Запуск»: разовые расходы на старт — товарный знак, сертификация, съёмка, сайт.</t>
  </si>
  <si>
    <t>4. «Итог»: сколько денег нужно всего, средняя себестоимость, цена и сколько вещей продать, чтобы вернуть вложения.</t>
  </si>
  <si>
    <t>Золотистые ячейки — ваши данные. Остальное считается само.</t>
  </si>
  <si>
    <t>В А Ж Н О</t>
  </si>
  <si>
    <t>• Цифры — пример для ориентира. Замените их ценами ваших поставщиков: запросите прайс у 3–5 фабрик и у конструктора.</t>
  </si>
  <si>
    <t>• Первая партия — 2–3 изделия на размер. Дороже за штуку, но вы проверите спрос, а не заполните склад.</t>
  </si>
  <si>
    <t>• Лекала, образцы и эталоны — инвестиции, а не себестоимость первой партии. Иначе цена выйдет завышенной.</t>
  </si>
  <si>
    <t>• У одной вещи четыре цены: опт, реализация, маркетплейс и свой магазин. Себестоимость должна выдерживать самую низкую.</t>
  </si>
  <si>
    <t>• Заложите резерв 10–15% на непредвиденное: в рулоне может оказаться 27 метров вместо 30.</t>
  </si>
  <si>
    <t>Ч Т О   Д А Л Ь Ш Е</t>
  </si>
  <si>
    <t>Как найти фабрику, составить ТЗ, посчитать цену и не потерять деньги на первой коллекции — в курсе «Бренд под ключ».</t>
  </si>
  <si>
    <t>Курс и бесплатная консультация: anna-zheltakova.com/course · Telegram: t.me/anyazheltakova</t>
  </si>
  <si>
    <t>СКОЛЬКО НУЖНО ДЕНЕГ</t>
  </si>
  <si>
    <t>Считается из листов «Калькулятор», «Капсула» и «Запуск». Золотистые ячейки можно менять.</t>
  </si>
  <si>
    <t>Пошив первой партии</t>
  </si>
  <si>
    <t>Ткань, фурнитура, работа фабрики и оформление всех изделий</t>
  </si>
  <si>
    <t>Подготовка моделей (лекала, образцы, эталоны)</t>
  </si>
  <si>
    <t>Инвестиции: возвращаются с будущих партий</t>
  </si>
  <si>
    <t>Разовые расходы на старт</t>
  </si>
  <si>
    <t>Резерв на непредвиденное, %</t>
  </si>
  <si>
    <t>10–15%: задержки, брак, недомер ткани</t>
  </si>
  <si>
    <t>Резерв, ₽</t>
  </si>
  <si>
    <t>ВСЕГО НУЖНО НА ЗАПУСК</t>
  </si>
  <si>
    <t>Столько денег нужно до первой продажи</t>
  </si>
  <si>
    <t>Изделий в первой партии, шт.</t>
  </si>
  <si>
    <t>Средняя себестоимость единицы</t>
  </si>
  <si>
    <t>Без учёта лекал и образцов</t>
  </si>
  <si>
    <t>Наценка (множитель к себестоимости)</t>
  </si>
  <si>
    <t>Для розницы через свой сайт и соцсети часто ×2,5–3</t>
  </si>
  <si>
    <t>Средняя цена продажи</t>
  </si>
  <si>
    <t>Цены по каналам — на листе «Калькулятор»</t>
  </si>
  <si>
    <t>Налог УСН «доходы», %</t>
  </si>
  <si>
    <t>Откладывайте 6% с каждого поступления в отдельную «копилку»</t>
  </si>
  <si>
    <t>Возвраты и комиссии, %</t>
  </si>
  <si>
    <t>Эквайринг, возвраты, доставка</t>
  </si>
  <si>
    <t>Прибыль с одной вещи</t>
  </si>
  <si>
    <t>Без учёта рекламы и зарплат</t>
  </si>
  <si>
    <t>Выручка, если продать всю партию</t>
  </si>
  <si>
    <t>Сколько вещей продать, чтобы вернуть все вложения</t>
  </si>
  <si>
    <t>Если больше, чем в партии, — это нормально: вложения в старт окупаются за 2–4 партии</t>
  </si>
  <si>
    <t>Разобрать свою смету с Анной — бесплатная консультация: anna-zheltakova.com/course</t>
  </si>
  <si>
    <t>КАЛЬКУЛЯТОР СЕБЕСТОИМОСТИ</t>
  </si>
  <si>
    <t>Пять моделей капсулы: себестоимость по статьям и цена для каждого канала продаж. Золотистые ячейки — ваши данные.</t>
  </si>
  <si>
    <t>СТАТЬЯ</t>
  </si>
  <si>
    <t>МОДЕЛЬ 1</t>
  </si>
  <si>
    <t>МОДЕЛЬ 2</t>
  </si>
  <si>
    <t>МОДЕЛЬ 3</t>
  </si>
  <si>
    <t>МОДЕЛЬ 4</t>
  </si>
  <si>
    <t>МОДЕЛЬ 5</t>
  </si>
  <si>
    <t>ПОДСКАЗКА</t>
  </si>
  <si>
    <t>Название модели</t>
  </si>
  <si>
    <t>Платье-рубашка</t>
  </si>
  <si>
    <t>Жакет</t>
  </si>
  <si>
    <t>Брюки прямые</t>
  </si>
  <si>
    <t>Футболка</t>
  </si>
  <si>
    <t>Юбка миди</t>
  </si>
  <si>
    <t>Модели 1–5 сами попадут на лист «Капсула»</t>
  </si>
  <si>
    <t>Т К А Н И</t>
  </si>
  <si>
    <t>Основная ткань: расход, м на изделие</t>
  </si>
  <si>
    <t>Возьмите из раскладки конструктора</t>
  </si>
  <si>
    <t>Основная ткань: цена, ₽ за метр</t>
  </si>
  <si>
    <t>Подкладка: расход, м на изделие</t>
  </si>
  <si>
    <t>0, если подкладки нет</t>
  </si>
  <si>
    <t>Подкладка: цена, ₽ за метр</t>
  </si>
  <si>
    <t>Дублерин и клеевые материалы, ₽</t>
  </si>
  <si>
    <t>Жакеты, воротники, пояса</t>
  </si>
  <si>
    <t>Запас на раскладку и брак ткани, %</t>
  </si>
  <si>
    <t>Обычно 8–12%: в рулоне бывает 27 м вместо 30</t>
  </si>
  <si>
    <t>Ткани на изделие</t>
  </si>
  <si>
    <t>Ф У Р Н И Т У Р А</t>
  </si>
  <si>
    <t>Пуговицы, кнопки, крючки, ₽</t>
  </si>
  <si>
    <t>Молния, ₽</t>
  </si>
  <si>
    <t>Нитки, тесьма, резинка, ₽</t>
  </si>
  <si>
    <t>Прочая фурнитура, ₽</t>
  </si>
  <si>
    <t>Пряжки, люверсы, плечевые накладки</t>
  </si>
  <si>
    <t>Фурнитура на изделие</t>
  </si>
  <si>
    <t>Р А Б О Т А   Ф А Б Р И К И</t>
  </si>
  <si>
    <t>Раскрой, ₽</t>
  </si>
  <si>
    <t>Часто входит в цену пошива — уточните у фабрики</t>
  </si>
  <si>
    <t>Пошив, ₽</t>
  </si>
  <si>
    <t>Жакет: 2 500–4 000 ₽. Дорогая швея шьёт 4 изделия за смену, а не 10</t>
  </si>
  <si>
    <t>ВТО (влажно-тепловая обработка), ₽</t>
  </si>
  <si>
    <t>Утюжка без ласов — то, за что платят в хорошем цехе</t>
  </si>
  <si>
    <t>ОТК (контроль качества), ₽</t>
  </si>
  <si>
    <t>Работа на изделие</t>
  </si>
  <si>
    <t>О Ф О Р М Л Е Н И Е   И   Д О С Т А В К А</t>
  </si>
  <si>
    <t>Бирка, этикетка, составник, ₽</t>
  </si>
  <si>
    <t>Код «Честного знака», ₽</t>
  </si>
  <si>
    <t>Около 0,60 ₽ + НДС за код</t>
  </si>
  <si>
    <t>Упаковка: пакет, вешалка, ₽</t>
  </si>
  <si>
    <t>Доставка до склада, ₽ за изделие</t>
  </si>
  <si>
    <t>Оформление на изделие</t>
  </si>
  <si>
    <t>Резерв на брак пошива, %</t>
  </si>
  <si>
    <t>2–5%: часть партии уйдёт в уценку</t>
  </si>
  <si>
    <t>Себестоимость единицы</t>
  </si>
  <si>
    <t>Без лекал и образцов: их считаем отдельно</t>
  </si>
  <si>
    <t>П О Д Г О Т О В К А   М О Д Е Л И   ( И Н В Е С Т И Ц И И )</t>
  </si>
  <si>
    <t>Лекала и градация, ₽</t>
  </si>
  <si>
    <t>Платится один раз на модель</t>
  </si>
  <si>
    <t>Образец и эталон, ₽</t>
  </si>
  <si>
    <t>Из листа «Капсула»: размеров × шт. на размер</t>
  </si>
  <si>
    <t>Подготовка на 1 изделие первой партии</t>
  </si>
  <si>
    <t>Столько стоила бы вещь, если вернуть подготовку с первой партии</t>
  </si>
  <si>
    <t>Себестоимость с подготовкой</t>
  </si>
  <si>
    <t>Не ставьте цену от этой суммы: подготовка окупается за 2–4 партии</t>
  </si>
  <si>
    <t>Ц Е Н А   И   П Р И Б Ы Л Ь   П О   К А Н А Л А М   П Р О Д А Ж</t>
  </si>
  <si>
    <t>Наценка для розницы, × к себестоимости</t>
  </si>
  <si>
    <t>Свой сайт и соцсети: ×2,5–3</t>
  </si>
  <si>
    <t>Розничная цена</t>
  </si>
  <si>
    <t>Округлено до сотен</t>
  </si>
  <si>
    <t>Свой сайт и соцсети: прибыль с вещи</t>
  </si>
  <si>
    <t>Эквайринг, доставка, возвраты — около 5% от цены. Деньги приходят сразу</t>
  </si>
  <si>
    <t>Маркетплейс (Lamoda): прибыль с вещи</t>
  </si>
  <si>
    <t>Комиссия и логистика — 30–40%. Платит не сразу</t>
  </si>
  <si>
    <t>Реализация в магазине: прибыль с вещи</t>
  </si>
  <si>
    <t>Магазин оставляет себе 35–50% и платит после продажи</t>
  </si>
  <si>
    <t>Опт в регионы: прибыль с вещи</t>
  </si>
  <si>
    <t>Оптовая цена — около половины розничной</t>
  </si>
  <si>
    <t>Р А С Х О Д Ы   К А Н А Л О В   П Р О Д А Ж   ( О Д Н И   Н А   В С Е   М О Д Е Л И )</t>
  </si>
  <si>
    <t>Свой сайт и соцсети: удержания, % от розничной цены</t>
  </si>
  <si>
    <t>Маркетплейс (Lamoda): удержания, % от розничной цены</t>
  </si>
  <si>
    <t>Реализация в магазине: удержания, % от розничной цены</t>
  </si>
  <si>
    <t>Опт в регионы: удержания, % от розничной цены</t>
  </si>
  <si>
    <t>Прибыль — до налогов, рекламы и зарплат. Если в каком-то канале она красная, при этой цене туда идти нельзя: снижайте себестоимость или поднимайте наценку.</t>
  </si>
  <si>
    <t>ПЕРВАЯ КАПСУЛА</t>
  </si>
  <si>
    <t>Модели 1–5 считаются в «Калькуляторе». Здесь — сколько штук шьёте. Модели 6–10 можно посчитать упрощённо.</t>
  </si>
  <si>
    <t>МОДЕЛЬ</t>
  </si>
  <si>
    <t>РАЗМЕРОВ</t>
  </si>
  <si>
    <t>ШТ. НА РАЗМЕР</t>
  </si>
  <si>
    <t>ВСЕГО ШТ.</t>
  </si>
  <si>
    <t>РАСХОД ТКАНИ, М/ШТ.</t>
  </si>
  <si>
    <t>ЦЕНА ТКАНИ, ₽/М</t>
  </si>
  <si>
    <t>ФУРНИТУРА, ₽/ШТ.</t>
  </si>
  <si>
    <t>РАБОТА ФАБРИКИ, ₽/ШТ.</t>
  </si>
  <si>
    <t>ОФОРМЛЕНИЕ И ДОСТАВКА, ₽/ШТ.</t>
  </si>
  <si>
    <t>СЕБЕСТОИМОСТЬ ЕД., ₽</t>
  </si>
  <si>
    <t>ЛЕКАЛА + ГРАДАЦИЯ, ₽</t>
  </si>
  <si>
    <t>ОБРАЗЕЦ + ЭТАЛОН, ₽</t>
  </si>
  <si>
    <t>ПОДГОТОВКА МОДЕЛИ, ₽</t>
  </si>
  <si>
    <t>ПАРТИЯ, ₽</t>
  </si>
  <si>
    <t>ИТОГО</t>
  </si>
  <si>
    <t>Модели 1–5: себестоимость из «Калькулятора» (ткань с подкладкой, фурнитура, раскрой, пошив, ВТО, ОТК, оформление, резерв на брак). Модели 6–10: расход × цена ткани × 1,1 + фурнитура + работа + оформление. Лекала и образцы — инвестиции: не вкладывайте их в цену первой партии.</t>
  </si>
  <si>
    <t>РАЗОВЫЕ РАСХОДЫ НА СТАРТ</t>
  </si>
  <si>
    <t>Ориентиры для начинающего бренда. Уточните у подрядчиков в своём городе.</t>
  </si>
  <si>
    <t>СУММА, ₽</t>
  </si>
  <si>
    <t>КОММЕНТАРИЙ</t>
  </si>
  <si>
    <t>Мудборд, журналы, пробковая доска</t>
  </si>
  <si>
    <t>Домашнее задание урока 1: начните с насмотренности</t>
  </si>
  <si>
    <t>Регистрация товарного знака</t>
  </si>
  <si>
    <t>Пошлины Роспатента + проверка названия. Сначала проверьте, что имя свободно</t>
  </si>
  <si>
    <t>Сертификация / декларация соответствия</t>
  </si>
  <si>
    <t>Зависит от группы изделий; список сертифицирующих компаний есть в курсе</t>
  </si>
  <si>
    <t>Маркировка «Честный знак»: регистрация, принтер этикеток</t>
  </si>
  <si>
    <t>Обязательна для большинства групп одежды</t>
  </si>
  <si>
    <t>Имиджевая съёмка капсулы</t>
  </si>
  <si>
    <t>Начинающему бренду — до 50 тыс. ₽, профессиональная — до 150 тыс. ₽</t>
  </si>
  <si>
    <t>Предметная съёмка на белом фоне</t>
  </si>
  <si>
    <t>Для сайта и маркетплейсов</t>
  </si>
  <si>
    <t>Сайт с корзиной (Tilda)</t>
  </si>
  <si>
    <t>Шаблон дешевле, но сайт с оплатой повышает доверие</t>
  </si>
  <si>
    <t>Онлайн-касса и эквайринг</t>
  </si>
  <si>
    <t>Бирки, этикетки, упаковка (тираж)</t>
  </si>
  <si>
    <t>Реклама на запуск</t>
  </si>
  <si>
    <t>Первые продажи и тест аудитории</t>
  </si>
  <si>
    <t>Логистика: доставка ткани, образцов, партии</t>
  </si>
  <si>
    <t>Другое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</si>
</sst>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₽&quot;"/>
    <numFmt numFmtId="165" formatCode="0.0"/>
  </numFmts>
  <fonts count="17" x14ac:knownFonts="1">
    <font>
      <sz val="11"/>
      <color theme="1"/>
      <name val="Calibri"/>
      <family val="2"/>
      <scheme val="minor"/>
    </font>
    <font>
      <sz val="9"/>
      <color rgb="FFC9A66B"/>
      <name val="Bahnschrift"/>
    </font>
    <font>
      <b/>
      <sz val="26"/>
      <color rgb="FFFFFFFF"/>
      <name val="Bahnschrift"/>
    </font>
    <font>
      <sz val="10"/>
      <color rgb="FF938058"/>
      <name val="Bahnschrift"/>
    </font>
    <font>
      <b/>
      <sz val="12"/>
      <color rgb="FF938058"/>
      <name val="Bahnschrift"/>
    </font>
    <font>
      <sz val="11"/>
      <color rgb="FF110D0A"/>
      <name val="Bahnschrift"/>
    </font>
    <font>
      <b/>
      <sz val="11"/>
      <color rgb="FFC9A66B"/>
      <name val="Bahnschrift"/>
    </font>
    <font>
      <b/>
      <sz val="10"/>
      <color rgb="FF110D0A"/>
      <name val="Bahnschrift"/>
    </font>
    <font>
      <i/>
      <sz val="10"/>
      <color rgb="FF938058"/>
      <name val="Bahnschrift"/>
    </font>
    <font>
      <b/>
      <sz val="11"/>
      <color rgb="FF938058"/>
      <name val="Bahnschrift"/>
    </font>
    <font>
      <sz val="10"/>
      <color rgb="FF110D0A"/>
      <name val="Bahnschrift"/>
    </font>
    <font>
      <b/>
      <sz val="12"/>
      <color rgb="FFC9A66B"/>
      <name val="Bahnschrift"/>
    </font>
    <font>
      <i/>
      <sz val="9"/>
      <color rgb="FF938058"/>
      <name val="Bahnschrift"/>
    </font>
    <font>
      <b/>
      <sz val="9"/>
      <color rgb="FFC9A66B"/>
      <name val="Bahnschrift"/>
    </font>
    <font>
      <b/>
      <sz val="18"/>
      <color rgb="FFC9A66B"/>
      <name val="Bahnschrift"/>
    </font>
    <font>
      <b/>
      <sz val="14"/>
      <color rgb="FFFFFFFF"/>
      <name val="Bahnschrift"/>
    </font>
    <font>
      <b/>
      <u/>
      <sz val="13"/>
      <color rgb="FF938058"/>
      <name val="Bahnschrift"/>
    </font>
  </fonts>
  <fills count="5">
    <fill>
      <patternFill patternType="none"/>
    </fill>
    <fill>
      <patternFill patternType="gray125"/>
    </fill>
    <fill>
      <patternFill patternType="solid">
        <fgColor rgb="FF110D0A"/>
      </patternFill>
    </fill>
    <fill>
      <patternFill patternType="solid">
        <fgColor rgb="FFF6F1E7"/>
      </patternFill>
    </fill>
    <fill>
      <patternFill patternType="solid">
        <fgColor rgb="FFEFE3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9A66B"/>
      </bottom>
      <diagonal/>
    </border>
    <border>
      <left style="thin">
        <color rgb="FFD8C9A8"/>
      </left>
      <right style="thin">
        <color rgb="FFD8C9A8"/>
      </right>
      <top style="thin">
        <color rgb="FFD8C9A8"/>
      </top>
      <bottom style="thin">
        <color rgb="FFD8C9A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3" borderId="1" xfId="0" applyFont="1" applyFill="1" applyBorder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10" fillId="3" borderId="2" xfId="0" applyFont="1" applyFill="1" applyBorder="1" applyAlignment="1">
      <alignment vertical="center" wrapText="1"/>
    </xf>
    <xf numFmtId="164" fontId="10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 wrapText="1"/>
    </xf>
    <xf numFmtId="9" fontId="10" fillId="4" borderId="2" xfId="0" applyNumberFormat="1" applyFont="1" applyFill="1" applyBorder="1" applyAlignment="1">
      <alignment vertical="center"/>
    </xf>
    <xf numFmtId="0" fontId="15" fillId="2" borderId="2" xfId="0" applyFont="1" applyFill="1" applyBorder="1" applyAlignment="1">
      <alignment vertical="center" wrapText="1"/>
    </xf>
    <xf numFmtId="164" fontId="14" fillId="2" borderId="2" xfId="0" applyNumberFormat="1" applyFont="1" applyFill="1" applyBorder="1" applyAlignment="1">
      <alignment vertical="center"/>
    </xf>
    <xf numFmtId="1" fontId="10" fillId="3" borderId="2" xfId="0" applyNumberFormat="1" applyFont="1" applyFill="1" applyBorder="1" applyAlignment="1">
      <alignment vertical="center"/>
    </xf>
    <xf numFmtId="165" fontId="10" fillId="4" borderId="2" xfId="0" applyNumberFormat="1" applyFont="1" applyFill="1" applyBorder="1" applyAlignment="1">
      <alignment vertical="center"/>
    </xf>
    <xf numFmtId="0" fontId="16" fillId="3" borderId="0" xfId="0" applyFont="1" applyFill="1"/>
    <xf numFmtId="0" fontId="6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9" fillId="3" borderId="1" xfId="0" applyFont="1" applyFill="1" applyBorder="1"/>
    <xf numFmtId="0" fontId="0" fillId="3" borderId="1" xfId="0" applyFill="1" applyBorder="1"/>
    <xf numFmtId="2" fontId="10" fillId="4" borderId="2" xfId="0" applyNumberFormat="1" applyFont="1" applyFill="1" applyBorder="1" applyAlignment="1">
      <alignment vertical="center"/>
    </xf>
    <xf numFmtId="164" fontId="10" fillId="4" borderId="2" xfId="0" applyNumberFormat="1" applyFont="1" applyFill="1" applyBorder="1" applyAlignment="1">
      <alignment vertical="center"/>
    </xf>
    <xf numFmtId="164" fontId="7" fillId="3" borderId="2" xfId="0" applyNumberFormat="1" applyFont="1" applyFill="1" applyBorder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164" fontId="11" fillId="2" borderId="2" xfId="0" applyNumberFormat="1" applyFont="1" applyFill="1" applyBorder="1" applyAlignment="1">
      <alignment vertical="center"/>
    </xf>
    <xf numFmtId="0" fontId="13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/>
    </xf>
    <xf numFmtId="1" fontId="10" fillId="4" borderId="2" xfId="0" applyNumberFormat="1" applyFont="1" applyFill="1" applyBorder="1" applyAlignment="1">
      <alignment vertical="center"/>
    </xf>
    <xf numFmtId="2" fontId="10" fillId="3" borderId="2" xfId="0" applyNumberFormat="1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1" fontId="11" fillId="2" borderId="2" xfId="0" applyNumberFormat="1" applyFont="1" applyFill="1" applyBorder="1" applyAlignment="1">
      <alignment vertical="center"/>
    </xf>
    <xf numFmtId="0" fontId="10" fillId="4" borderId="2" xfId="0" applyFont="1" applyFill="1" applyBorder="1" applyAlignment="1">
      <alignment vertical="center" wrapText="1"/>
    </xf>
    <xf numFmtId="0" fontId="12" fillId="3" borderId="0" xfId="0" applyFont="1" applyFill="1" applyAlignment="1">
      <alignment vertical="top" wrapText="1"/>
    </xf>
    <xf numFmtId="0" fontId="0" fillId="0" borderId="0" xfId="0"/>
  </cellXfs>
  <cellStyles count="1">
    <cellStyle name="Обычный" xfId="0" builtinId="0"/>
  </cellStyles>
  <dxfs count="1">
    <dxf>
      <font>
        <b/>
        <color rgb="FFB3261E"/>
        <name val="Bahnschrift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nna-zheltakova.com/cours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anna-zheltakova.com/cour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0D0A"/>
  </sheetPr>
  <dimension ref="A1:C80"/>
  <sheetViews>
    <sheetView showGridLines="0" tabSelected="1" workbookViewId="0"/>
  </sheetViews>
  <sheetFormatPr defaultRowHeight="14.5" x14ac:dyDescent="0.35"/>
  <cols>
    <col min="1" max="1" width="3" customWidth="1"/>
    <col min="2" max="2" width="110" customWidth="1"/>
  </cols>
  <sheetData>
    <row r="1" spans="1:3" ht="30" customHeight="1" x14ac:dyDescent="0.35">
      <c r="A1" s="1"/>
      <c r="B1" s="2" t="s">
        <v>0</v>
      </c>
      <c r="C1" s="1"/>
    </row>
    <row r="2" spans="1:3" ht="44" customHeight="1" x14ac:dyDescent="0.35">
      <c r="A2" s="1"/>
      <c r="B2" s="3" t="s">
        <v>1</v>
      </c>
      <c r="C2" s="1"/>
    </row>
    <row r="3" spans="1:3" ht="30" customHeight="1" x14ac:dyDescent="0.35">
      <c r="A3" s="1"/>
      <c r="B3" s="4" t="s">
        <v>2</v>
      </c>
      <c r="C3" s="1"/>
    </row>
    <row r="4" spans="1:3" ht="12" customHeight="1" x14ac:dyDescent="0.35">
      <c r="A4" s="5"/>
      <c r="B4" s="5"/>
      <c r="C4" s="5"/>
    </row>
    <row r="5" spans="1:3" x14ac:dyDescent="0.35">
      <c r="A5" s="5"/>
      <c r="B5" s="5"/>
      <c r="C5" s="5"/>
    </row>
    <row r="6" spans="1:3" ht="15" x14ac:dyDescent="0.35">
      <c r="A6" s="5"/>
      <c r="B6" s="6" t="s">
        <v>3</v>
      </c>
      <c r="C6" s="5"/>
    </row>
    <row r="7" spans="1:3" ht="28" x14ac:dyDescent="0.35">
      <c r="A7" s="5"/>
      <c r="B7" s="7" t="s">
        <v>4</v>
      </c>
      <c r="C7" s="5"/>
    </row>
    <row r="8" spans="1:3" x14ac:dyDescent="0.35">
      <c r="A8" s="5"/>
      <c r="B8" s="7"/>
      <c r="C8" s="5"/>
    </row>
    <row r="9" spans="1:3" ht="15" x14ac:dyDescent="0.35">
      <c r="A9" s="5"/>
      <c r="B9" s="6" t="s">
        <v>5</v>
      </c>
      <c r="C9" s="5"/>
    </row>
    <row r="10" spans="1:3" ht="42" x14ac:dyDescent="0.35">
      <c r="A10" s="5"/>
      <c r="B10" s="7" t="s">
        <v>6</v>
      </c>
      <c r="C10" s="5"/>
    </row>
    <row r="11" spans="1:3" ht="28" x14ac:dyDescent="0.35">
      <c r="A11" s="5"/>
      <c r="B11" s="7" t="s">
        <v>7</v>
      </c>
      <c r="C11" s="5"/>
    </row>
    <row r="12" spans="1:3" x14ac:dyDescent="0.35">
      <c r="A12" s="5"/>
      <c r="B12" s="7" t="s">
        <v>8</v>
      </c>
      <c r="C12" s="5"/>
    </row>
    <row r="13" spans="1:3" ht="28" x14ac:dyDescent="0.35">
      <c r="A13" s="5"/>
      <c r="B13" s="7" t="s">
        <v>9</v>
      </c>
      <c r="C13" s="5"/>
    </row>
    <row r="14" spans="1:3" x14ac:dyDescent="0.35">
      <c r="A14" s="5"/>
      <c r="B14" s="7" t="s">
        <v>10</v>
      </c>
      <c r="C14" s="5"/>
    </row>
    <row r="15" spans="1:3" x14ac:dyDescent="0.35">
      <c r="A15" s="5"/>
      <c r="B15" s="7"/>
      <c r="C15" s="5"/>
    </row>
    <row r="16" spans="1:3" ht="15" x14ac:dyDescent="0.35">
      <c r="A16" s="5"/>
      <c r="B16" s="6" t="s">
        <v>11</v>
      </c>
      <c r="C16" s="5"/>
    </row>
    <row r="17" spans="1:3" ht="28" x14ac:dyDescent="0.35">
      <c r="A17" s="5"/>
      <c r="B17" s="7" t="s">
        <v>12</v>
      </c>
      <c r="C17" s="5"/>
    </row>
    <row r="18" spans="1:3" x14ac:dyDescent="0.35">
      <c r="A18" s="5"/>
      <c r="B18" s="7" t="s">
        <v>13</v>
      </c>
      <c r="C18" s="5"/>
    </row>
    <row r="19" spans="1:3" ht="28" x14ac:dyDescent="0.35">
      <c r="A19" s="5"/>
      <c r="B19" s="7" t="s">
        <v>14</v>
      </c>
      <c r="C19" s="5"/>
    </row>
    <row r="20" spans="1:3" ht="28" x14ac:dyDescent="0.35">
      <c r="A20" s="5"/>
      <c r="B20" s="7" t="s">
        <v>15</v>
      </c>
      <c r="C20" s="5"/>
    </row>
    <row r="21" spans="1:3" x14ac:dyDescent="0.35">
      <c r="A21" s="5"/>
      <c r="B21" s="7" t="s">
        <v>16</v>
      </c>
      <c r="C21" s="5"/>
    </row>
    <row r="22" spans="1:3" x14ac:dyDescent="0.35">
      <c r="A22" s="5"/>
      <c r="B22" s="7"/>
      <c r="C22" s="5"/>
    </row>
    <row r="23" spans="1:3" ht="15" x14ac:dyDescent="0.35">
      <c r="A23" s="5"/>
      <c r="B23" s="6" t="s">
        <v>17</v>
      </c>
      <c r="C23" s="5"/>
    </row>
    <row r="24" spans="1:3" ht="28" x14ac:dyDescent="0.35">
      <c r="A24" s="5"/>
      <c r="B24" s="7" t="s">
        <v>18</v>
      </c>
      <c r="C24" s="5"/>
    </row>
    <row r="25" spans="1:3" x14ac:dyDescent="0.35">
      <c r="A25" s="5"/>
      <c r="B25" s="7" t="s">
        <v>19</v>
      </c>
      <c r="C25" s="5"/>
    </row>
    <row r="26" spans="1:3" x14ac:dyDescent="0.35">
      <c r="A26" s="5"/>
      <c r="B26" s="5"/>
      <c r="C26" s="5"/>
    </row>
    <row r="27" spans="1:3" x14ac:dyDescent="0.35">
      <c r="A27" s="5"/>
      <c r="B27" s="5"/>
      <c r="C27" s="5"/>
    </row>
    <row r="28" spans="1:3" x14ac:dyDescent="0.35">
      <c r="A28" s="5"/>
      <c r="B28" s="5"/>
      <c r="C28" s="5"/>
    </row>
    <row r="29" spans="1:3" x14ac:dyDescent="0.35">
      <c r="A29" s="5"/>
      <c r="B29" s="5"/>
      <c r="C29" s="5"/>
    </row>
    <row r="30" spans="1:3" x14ac:dyDescent="0.35">
      <c r="A30" s="5"/>
      <c r="B30" s="5"/>
      <c r="C30" s="5"/>
    </row>
    <row r="31" spans="1:3" x14ac:dyDescent="0.35">
      <c r="A31" s="5"/>
      <c r="B31" s="5"/>
      <c r="C31" s="5"/>
    </row>
    <row r="32" spans="1:3" x14ac:dyDescent="0.35">
      <c r="A32" s="5"/>
      <c r="B32" s="5"/>
      <c r="C32" s="5"/>
    </row>
    <row r="33" spans="1:3" x14ac:dyDescent="0.35">
      <c r="A33" s="5"/>
      <c r="B33" s="5"/>
      <c r="C33" s="5"/>
    </row>
    <row r="34" spans="1:3" x14ac:dyDescent="0.35">
      <c r="A34" s="5"/>
      <c r="B34" s="5"/>
      <c r="C34" s="5"/>
    </row>
    <row r="35" spans="1:3" x14ac:dyDescent="0.35">
      <c r="A35" s="5"/>
      <c r="B35" s="5"/>
      <c r="C35" s="5"/>
    </row>
    <row r="36" spans="1:3" x14ac:dyDescent="0.35">
      <c r="A36" s="5"/>
      <c r="B36" s="5"/>
      <c r="C36" s="5"/>
    </row>
    <row r="37" spans="1:3" x14ac:dyDescent="0.35">
      <c r="A37" s="5"/>
      <c r="B37" s="5"/>
      <c r="C37" s="5"/>
    </row>
    <row r="38" spans="1:3" x14ac:dyDescent="0.35">
      <c r="A38" s="5"/>
      <c r="B38" s="5"/>
      <c r="C38" s="5"/>
    </row>
    <row r="39" spans="1:3" x14ac:dyDescent="0.35">
      <c r="A39" s="5"/>
      <c r="B39" s="5"/>
      <c r="C39" s="5"/>
    </row>
    <row r="40" spans="1:3" x14ac:dyDescent="0.35">
      <c r="A40" s="5"/>
      <c r="B40" s="5"/>
      <c r="C40" s="5"/>
    </row>
    <row r="41" spans="1:3" x14ac:dyDescent="0.35">
      <c r="A41" s="5"/>
      <c r="B41" s="5"/>
      <c r="C41" s="5"/>
    </row>
    <row r="42" spans="1:3" x14ac:dyDescent="0.35">
      <c r="A42" s="5"/>
      <c r="B42" s="5"/>
      <c r="C42" s="5"/>
    </row>
    <row r="43" spans="1:3" x14ac:dyDescent="0.35">
      <c r="A43" s="5"/>
      <c r="B43" s="5"/>
      <c r="C43" s="5"/>
    </row>
    <row r="44" spans="1:3" x14ac:dyDescent="0.35">
      <c r="A44" s="5"/>
      <c r="B44" s="5"/>
      <c r="C44" s="5"/>
    </row>
    <row r="45" spans="1:3" x14ac:dyDescent="0.35">
      <c r="A45" s="5"/>
      <c r="B45" s="5"/>
      <c r="C45" s="5"/>
    </row>
    <row r="46" spans="1:3" x14ac:dyDescent="0.35">
      <c r="A46" s="5"/>
      <c r="B46" s="5"/>
      <c r="C46" s="5"/>
    </row>
    <row r="47" spans="1:3" x14ac:dyDescent="0.35">
      <c r="A47" s="5"/>
      <c r="B47" s="5"/>
      <c r="C47" s="5"/>
    </row>
    <row r="48" spans="1:3" x14ac:dyDescent="0.35">
      <c r="A48" s="5"/>
      <c r="B48" s="5"/>
      <c r="C48" s="5"/>
    </row>
    <row r="49" spans="1:3" x14ac:dyDescent="0.35">
      <c r="A49" s="5"/>
      <c r="B49" s="5"/>
      <c r="C49" s="5"/>
    </row>
    <row r="50" spans="1:3" x14ac:dyDescent="0.35">
      <c r="A50" s="5"/>
      <c r="B50" s="5"/>
      <c r="C50" s="5"/>
    </row>
    <row r="51" spans="1:3" x14ac:dyDescent="0.35">
      <c r="A51" s="5"/>
      <c r="B51" s="5"/>
      <c r="C51" s="5"/>
    </row>
    <row r="52" spans="1:3" x14ac:dyDescent="0.35">
      <c r="A52" s="5"/>
      <c r="B52" s="5"/>
      <c r="C52" s="5"/>
    </row>
    <row r="53" spans="1:3" x14ac:dyDescent="0.35">
      <c r="A53" s="5"/>
      <c r="B53" s="5"/>
      <c r="C53" s="5"/>
    </row>
    <row r="54" spans="1:3" x14ac:dyDescent="0.35">
      <c r="A54" s="5"/>
      <c r="B54" s="5"/>
      <c r="C54" s="5"/>
    </row>
    <row r="55" spans="1:3" x14ac:dyDescent="0.35">
      <c r="A55" s="5"/>
      <c r="B55" s="5"/>
      <c r="C55" s="5"/>
    </row>
    <row r="56" spans="1:3" x14ac:dyDescent="0.35">
      <c r="A56" s="5"/>
      <c r="B56" s="5"/>
      <c r="C56" s="5"/>
    </row>
    <row r="57" spans="1:3" x14ac:dyDescent="0.35">
      <c r="A57" s="5"/>
      <c r="B57" s="5"/>
      <c r="C57" s="5"/>
    </row>
    <row r="58" spans="1:3" x14ac:dyDescent="0.35">
      <c r="A58" s="5"/>
      <c r="B58" s="5"/>
      <c r="C58" s="5"/>
    </row>
    <row r="59" spans="1:3" x14ac:dyDescent="0.35">
      <c r="A59" s="5"/>
      <c r="B59" s="5"/>
      <c r="C59" s="5"/>
    </row>
    <row r="60" spans="1:3" x14ac:dyDescent="0.35">
      <c r="A60" s="5"/>
      <c r="B60" s="5"/>
      <c r="C60" s="5"/>
    </row>
    <row r="61" spans="1:3" x14ac:dyDescent="0.35">
      <c r="A61" s="5"/>
      <c r="B61" s="5"/>
      <c r="C61" s="5"/>
    </row>
    <row r="62" spans="1:3" x14ac:dyDescent="0.35">
      <c r="A62" s="5"/>
      <c r="B62" s="5"/>
      <c r="C62" s="5"/>
    </row>
    <row r="63" spans="1:3" x14ac:dyDescent="0.35">
      <c r="A63" s="5"/>
      <c r="B63" s="5"/>
      <c r="C63" s="5"/>
    </row>
    <row r="64" spans="1:3" x14ac:dyDescent="0.35">
      <c r="A64" s="5"/>
      <c r="B64" s="5"/>
      <c r="C64" s="5"/>
    </row>
    <row r="65" spans="1:3" x14ac:dyDescent="0.35">
      <c r="A65" s="5"/>
      <c r="B65" s="5"/>
      <c r="C65" s="5"/>
    </row>
    <row r="66" spans="1:3" x14ac:dyDescent="0.35">
      <c r="A66" s="5"/>
      <c r="B66" s="5"/>
      <c r="C66" s="5"/>
    </row>
    <row r="67" spans="1:3" x14ac:dyDescent="0.35">
      <c r="A67" s="5"/>
      <c r="B67" s="5"/>
      <c r="C67" s="5"/>
    </row>
    <row r="68" spans="1:3" x14ac:dyDescent="0.35">
      <c r="A68" s="5"/>
      <c r="B68" s="5"/>
      <c r="C68" s="5"/>
    </row>
    <row r="69" spans="1:3" x14ac:dyDescent="0.35">
      <c r="A69" s="5"/>
      <c r="B69" s="5"/>
      <c r="C69" s="5"/>
    </row>
    <row r="70" spans="1:3" x14ac:dyDescent="0.35">
      <c r="A70" s="5"/>
      <c r="B70" s="5"/>
      <c r="C70" s="5"/>
    </row>
    <row r="71" spans="1:3" x14ac:dyDescent="0.35">
      <c r="A71" s="5"/>
      <c r="B71" s="5"/>
      <c r="C71" s="5"/>
    </row>
    <row r="72" spans="1:3" x14ac:dyDescent="0.35">
      <c r="A72" s="5"/>
      <c r="B72" s="5"/>
      <c r="C72" s="5"/>
    </row>
    <row r="73" spans="1:3" x14ac:dyDescent="0.35">
      <c r="A73" s="5"/>
      <c r="B73" s="5"/>
      <c r="C73" s="5"/>
    </row>
    <row r="74" spans="1:3" x14ac:dyDescent="0.35">
      <c r="A74" s="5"/>
      <c r="B74" s="5"/>
      <c r="C74" s="5"/>
    </row>
    <row r="75" spans="1:3" x14ac:dyDescent="0.35">
      <c r="A75" s="5"/>
      <c r="B75" s="5"/>
      <c r="C75" s="5"/>
    </row>
    <row r="76" spans="1:3" x14ac:dyDescent="0.35">
      <c r="A76" s="5"/>
      <c r="B76" s="5"/>
      <c r="C76" s="5"/>
    </row>
    <row r="77" spans="1:3" x14ac:dyDescent="0.35">
      <c r="A77" s="5"/>
      <c r="B77" s="5"/>
      <c r="C77" s="5"/>
    </row>
    <row r="78" spans="1:3" x14ac:dyDescent="0.35">
      <c r="A78" s="5"/>
      <c r="B78" s="5"/>
      <c r="C78" s="5"/>
    </row>
    <row r="79" spans="1:3" x14ac:dyDescent="0.35">
      <c r="A79" s="5"/>
      <c r="B79" s="5"/>
      <c r="C79" s="5"/>
    </row>
    <row r="80" spans="1:3" x14ac:dyDescent="0.35">
      <c r="A80" s="5"/>
      <c r="B80" s="5"/>
      <c r="C80" s="5"/>
    </row>
  </sheetData>
  <hyperlinks>
    <hyperlink ref="B25" r:id="rId1" xr:uid="{00000000-0004-0000-00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66B"/>
  </sheetPr>
  <dimension ref="A1:E80"/>
  <sheetViews>
    <sheetView showGridLines="0" workbookViewId="0"/>
  </sheetViews>
  <sheetFormatPr defaultRowHeight="14.5" x14ac:dyDescent="0.35"/>
  <cols>
    <col min="1" max="1" width="3" customWidth="1"/>
    <col min="2" max="2" width="54" customWidth="1"/>
    <col min="3" max="3" width="20" customWidth="1"/>
    <col min="4" max="4" width="62" customWidth="1"/>
  </cols>
  <sheetData>
    <row r="1" spans="1:5" ht="30" customHeight="1" x14ac:dyDescent="0.35">
      <c r="A1" s="1"/>
      <c r="B1" s="2" t="s">
        <v>0</v>
      </c>
      <c r="C1" s="1"/>
      <c r="D1" s="1"/>
      <c r="E1" s="1"/>
    </row>
    <row r="2" spans="1:5" ht="44" customHeight="1" x14ac:dyDescent="0.35">
      <c r="A2" s="1"/>
      <c r="B2" s="3" t="s">
        <v>20</v>
      </c>
      <c r="C2" s="1"/>
      <c r="D2" s="1"/>
      <c r="E2" s="1"/>
    </row>
    <row r="3" spans="1:5" ht="30" customHeight="1" x14ac:dyDescent="0.35">
      <c r="A3" s="1"/>
      <c r="B3" s="4" t="s">
        <v>21</v>
      </c>
      <c r="C3" s="1"/>
      <c r="D3" s="1"/>
      <c r="E3" s="1"/>
    </row>
    <row r="4" spans="1:5" ht="12" customHeight="1" x14ac:dyDescent="0.35">
      <c r="A4" s="5"/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5"/>
      <c r="B6" s="8" t="s">
        <v>22</v>
      </c>
      <c r="C6" s="9">
        <f>Капсула!O16</f>
        <v>197055</v>
      </c>
      <c r="D6" s="10" t="s">
        <v>23</v>
      </c>
      <c r="E6" s="5"/>
    </row>
    <row r="7" spans="1:5" x14ac:dyDescent="0.35">
      <c r="A7" s="5"/>
      <c r="B7" s="8" t="s">
        <v>24</v>
      </c>
      <c r="C7" s="9">
        <f>Капсула!N16</f>
        <v>94000</v>
      </c>
      <c r="D7" s="10" t="s">
        <v>25</v>
      </c>
      <c r="E7" s="5"/>
    </row>
    <row r="8" spans="1:5" x14ac:dyDescent="0.35">
      <c r="A8" s="5"/>
      <c r="B8" s="8" t="s">
        <v>26</v>
      </c>
      <c r="C8" s="9">
        <f>Запуск!C18</f>
        <v>283000</v>
      </c>
      <c r="D8" s="10"/>
      <c r="E8" s="5"/>
    </row>
    <row r="9" spans="1:5" x14ac:dyDescent="0.35">
      <c r="A9" s="5"/>
      <c r="B9" s="8" t="s">
        <v>27</v>
      </c>
      <c r="C9" s="11">
        <v>0.15</v>
      </c>
      <c r="D9" s="10" t="s">
        <v>28</v>
      </c>
      <c r="E9" s="5"/>
    </row>
    <row r="10" spans="1:5" x14ac:dyDescent="0.35">
      <c r="A10" s="5"/>
      <c r="B10" s="8" t="s">
        <v>29</v>
      </c>
      <c r="C10" s="9">
        <f>(C6+C7+C8)*C9</f>
        <v>86108.25</v>
      </c>
      <c r="D10" s="10"/>
      <c r="E10" s="5"/>
    </row>
    <row r="11" spans="1:5" ht="34" customHeight="1" x14ac:dyDescent="0.35">
      <c r="A11" s="5"/>
      <c r="B11" s="12" t="s">
        <v>30</v>
      </c>
      <c r="C11" s="13">
        <f>C6+C7+C8+C10</f>
        <v>660163.25</v>
      </c>
      <c r="D11" s="10" t="s">
        <v>31</v>
      </c>
      <c r="E11" s="5"/>
    </row>
    <row r="12" spans="1:5" x14ac:dyDescent="0.35">
      <c r="A12" s="5"/>
      <c r="B12" s="5"/>
      <c r="C12" s="5"/>
      <c r="D12" s="5"/>
      <c r="E12" s="5"/>
    </row>
    <row r="13" spans="1:5" x14ac:dyDescent="0.35">
      <c r="A13" s="5"/>
      <c r="B13" s="8" t="s">
        <v>32</v>
      </c>
      <c r="C13" s="14">
        <f>Капсула!E16</f>
        <v>45</v>
      </c>
      <c r="D13" s="10"/>
      <c r="E13" s="5"/>
    </row>
    <row r="14" spans="1:5" x14ac:dyDescent="0.35">
      <c r="A14" s="5"/>
      <c r="B14" s="8" t="s">
        <v>33</v>
      </c>
      <c r="C14" s="9">
        <f>IF(C13=0,0,C6/C13)</f>
        <v>4379</v>
      </c>
      <c r="D14" s="10" t="s">
        <v>34</v>
      </c>
      <c r="E14" s="5"/>
    </row>
    <row r="15" spans="1:5" x14ac:dyDescent="0.35">
      <c r="A15" s="5"/>
      <c r="B15" s="8" t="s">
        <v>35</v>
      </c>
      <c r="C15" s="15">
        <v>3</v>
      </c>
      <c r="D15" s="10" t="s">
        <v>36</v>
      </c>
      <c r="E15" s="5"/>
    </row>
    <row r="16" spans="1:5" x14ac:dyDescent="0.35">
      <c r="A16" s="5"/>
      <c r="B16" s="8" t="s">
        <v>37</v>
      </c>
      <c r="C16" s="9">
        <f>C14*C15</f>
        <v>13137</v>
      </c>
      <c r="D16" s="10" t="s">
        <v>38</v>
      </c>
      <c r="E16" s="5"/>
    </row>
    <row r="17" spans="1:5" x14ac:dyDescent="0.35">
      <c r="A17" s="5"/>
      <c r="B17" s="8" t="s">
        <v>39</v>
      </c>
      <c r="C17" s="11">
        <v>0.06</v>
      </c>
      <c r="D17" s="10" t="s">
        <v>40</v>
      </c>
      <c r="E17" s="5"/>
    </row>
    <row r="18" spans="1:5" x14ac:dyDescent="0.35">
      <c r="A18" s="5"/>
      <c r="B18" s="8" t="s">
        <v>41</v>
      </c>
      <c r="C18" s="11">
        <v>0.1</v>
      </c>
      <c r="D18" s="10" t="s">
        <v>42</v>
      </c>
      <c r="E18" s="5"/>
    </row>
    <row r="19" spans="1:5" x14ac:dyDescent="0.35">
      <c r="A19" s="5"/>
      <c r="B19" s="8" t="s">
        <v>43</v>
      </c>
      <c r="C19" s="9">
        <f>C16*(1-C17-C18)-C14</f>
        <v>6656.08</v>
      </c>
      <c r="D19" s="10" t="s">
        <v>44</v>
      </c>
      <c r="E19" s="5"/>
    </row>
    <row r="20" spans="1:5" x14ac:dyDescent="0.35">
      <c r="A20" s="5"/>
      <c r="B20" s="8" t="s">
        <v>45</v>
      </c>
      <c r="C20" s="9">
        <f>C16*C13</f>
        <v>591165</v>
      </c>
      <c r="D20" s="10"/>
      <c r="E20" s="5"/>
    </row>
    <row r="21" spans="1:5" ht="25" x14ac:dyDescent="0.35">
      <c r="A21" s="5"/>
      <c r="B21" s="8" t="s">
        <v>46</v>
      </c>
      <c r="C21" s="14">
        <f>IF(C19&lt;=0,"цена ниже себестоимости",ROUNDUP(C11/C19,0))</f>
        <v>100</v>
      </c>
      <c r="D21" s="10" t="s">
        <v>47</v>
      </c>
      <c r="E21" s="5"/>
    </row>
    <row r="22" spans="1:5" x14ac:dyDescent="0.35">
      <c r="A22" s="5"/>
      <c r="B22" s="5"/>
      <c r="C22" s="5"/>
      <c r="D22" s="5"/>
      <c r="E22" s="5"/>
    </row>
    <row r="23" spans="1:5" x14ac:dyDescent="0.35">
      <c r="A23" s="5"/>
      <c r="B23" s="5"/>
      <c r="C23" s="5"/>
      <c r="D23" s="5"/>
      <c r="E23" s="5"/>
    </row>
    <row r="24" spans="1:5" ht="16.5" x14ac:dyDescent="0.35">
      <c r="A24" s="5"/>
      <c r="B24" s="16" t="s">
        <v>48</v>
      </c>
      <c r="C24" s="5"/>
      <c r="D24" s="5"/>
      <c r="E24" s="5"/>
    </row>
    <row r="25" spans="1:5" x14ac:dyDescent="0.35">
      <c r="A25" s="5"/>
      <c r="B25" s="5"/>
      <c r="C25" s="5"/>
      <c r="D25" s="5"/>
      <c r="E25" s="5"/>
    </row>
    <row r="26" spans="1:5" x14ac:dyDescent="0.35">
      <c r="A26" s="5"/>
      <c r="B26" s="5"/>
      <c r="C26" s="5"/>
      <c r="D26" s="5"/>
      <c r="E26" s="5"/>
    </row>
    <row r="27" spans="1:5" x14ac:dyDescent="0.35">
      <c r="A27" s="5"/>
      <c r="B27" s="5"/>
      <c r="C27" s="5"/>
      <c r="D27" s="5"/>
      <c r="E27" s="5"/>
    </row>
    <row r="28" spans="1:5" x14ac:dyDescent="0.35">
      <c r="A28" s="5"/>
      <c r="B28" s="5"/>
      <c r="C28" s="5"/>
      <c r="D28" s="5"/>
      <c r="E28" s="5"/>
    </row>
    <row r="29" spans="1:5" x14ac:dyDescent="0.35">
      <c r="A29" s="5"/>
      <c r="B29" s="5"/>
      <c r="C29" s="5"/>
      <c r="D29" s="5"/>
      <c r="E29" s="5"/>
    </row>
    <row r="30" spans="1:5" x14ac:dyDescent="0.35">
      <c r="A30" s="5"/>
      <c r="B30" s="5"/>
      <c r="C30" s="5"/>
      <c r="D30" s="5"/>
      <c r="E30" s="5"/>
    </row>
    <row r="31" spans="1:5" x14ac:dyDescent="0.35">
      <c r="A31" s="5"/>
      <c r="B31" s="5"/>
      <c r="C31" s="5"/>
      <c r="D31" s="5"/>
      <c r="E31" s="5"/>
    </row>
    <row r="32" spans="1:5" x14ac:dyDescent="0.35">
      <c r="A32" s="5"/>
      <c r="B32" s="5"/>
      <c r="C32" s="5"/>
      <c r="D32" s="5"/>
      <c r="E32" s="5"/>
    </row>
    <row r="33" spans="1:5" x14ac:dyDescent="0.35">
      <c r="A33" s="5"/>
      <c r="B33" s="5"/>
      <c r="C33" s="5"/>
      <c r="D33" s="5"/>
      <c r="E33" s="5"/>
    </row>
    <row r="34" spans="1:5" x14ac:dyDescent="0.35">
      <c r="A34" s="5"/>
      <c r="B34" s="5"/>
      <c r="C34" s="5"/>
      <c r="D34" s="5"/>
      <c r="E34" s="5"/>
    </row>
    <row r="35" spans="1:5" x14ac:dyDescent="0.35">
      <c r="A35" s="5"/>
      <c r="B35" s="5"/>
      <c r="C35" s="5"/>
      <c r="D35" s="5"/>
      <c r="E35" s="5"/>
    </row>
    <row r="36" spans="1:5" x14ac:dyDescent="0.35">
      <c r="A36" s="5"/>
      <c r="B36" s="5"/>
      <c r="C36" s="5"/>
      <c r="D36" s="5"/>
      <c r="E36" s="5"/>
    </row>
    <row r="37" spans="1:5" x14ac:dyDescent="0.35">
      <c r="A37" s="5"/>
      <c r="B37" s="5"/>
      <c r="C37" s="5"/>
      <c r="D37" s="5"/>
      <c r="E37" s="5"/>
    </row>
    <row r="38" spans="1:5" x14ac:dyDescent="0.35">
      <c r="A38" s="5"/>
      <c r="B38" s="5"/>
      <c r="C38" s="5"/>
      <c r="D38" s="5"/>
      <c r="E38" s="5"/>
    </row>
    <row r="39" spans="1:5" x14ac:dyDescent="0.35">
      <c r="A39" s="5"/>
      <c r="B39" s="5"/>
      <c r="C39" s="5"/>
      <c r="D39" s="5"/>
      <c r="E39" s="5"/>
    </row>
    <row r="40" spans="1:5" x14ac:dyDescent="0.35">
      <c r="A40" s="5"/>
      <c r="B40" s="5"/>
      <c r="C40" s="5"/>
      <c r="D40" s="5"/>
      <c r="E40" s="5"/>
    </row>
    <row r="41" spans="1:5" x14ac:dyDescent="0.35">
      <c r="A41" s="5"/>
      <c r="B41" s="5"/>
      <c r="C41" s="5"/>
      <c r="D41" s="5"/>
      <c r="E41" s="5"/>
    </row>
    <row r="42" spans="1:5" x14ac:dyDescent="0.35">
      <c r="A42" s="5"/>
      <c r="B42" s="5"/>
      <c r="C42" s="5"/>
      <c r="D42" s="5"/>
      <c r="E42" s="5"/>
    </row>
    <row r="43" spans="1:5" x14ac:dyDescent="0.35">
      <c r="A43" s="5"/>
      <c r="B43" s="5"/>
      <c r="C43" s="5"/>
      <c r="D43" s="5"/>
      <c r="E43" s="5"/>
    </row>
    <row r="44" spans="1:5" x14ac:dyDescent="0.35">
      <c r="A44" s="5"/>
      <c r="B44" s="5"/>
      <c r="C44" s="5"/>
      <c r="D44" s="5"/>
      <c r="E44" s="5"/>
    </row>
    <row r="45" spans="1:5" x14ac:dyDescent="0.35">
      <c r="A45" s="5"/>
      <c r="B45" s="5"/>
      <c r="C45" s="5"/>
      <c r="D45" s="5"/>
      <c r="E45" s="5"/>
    </row>
    <row r="46" spans="1:5" x14ac:dyDescent="0.35">
      <c r="A46" s="5"/>
      <c r="B46" s="5"/>
      <c r="C46" s="5"/>
      <c r="D46" s="5"/>
      <c r="E46" s="5"/>
    </row>
    <row r="47" spans="1:5" x14ac:dyDescent="0.35">
      <c r="A47" s="5"/>
      <c r="B47" s="5"/>
      <c r="C47" s="5"/>
      <c r="D47" s="5"/>
      <c r="E47" s="5"/>
    </row>
    <row r="48" spans="1:5" x14ac:dyDescent="0.35">
      <c r="A48" s="5"/>
      <c r="B48" s="5"/>
      <c r="C48" s="5"/>
      <c r="D48" s="5"/>
      <c r="E48" s="5"/>
    </row>
    <row r="49" spans="1:5" x14ac:dyDescent="0.35">
      <c r="A49" s="5"/>
      <c r="B49" s="5"/>
      <c r="C49" s="5"/>
      <c r="D49" s="5"/>
      <c r="E49" s="5"/>
    </row>
    <row r="50" spans="1:5" x14ac:dyDescent="0.35">
      <c r="A50" s="5"/>
      <c r="B50" s="5"/>
      <c r="C50" s="5"/>
      <c r="D50" s="5"/>
      <c r="E50" s="5"/>
    </row>
    <row r="51" spans="1:5" x14ac:dyDescent="0.35">
      <c r="A51" s="5"/>
      <c r="B51" s="5"/>
      <c r="C51" s="5"/>
      <c r="D51" s="5"/>
      <c r="E51" s="5"/>
    </row>
    <row r="52" spans="1:5" x14ac:dyDescent="0.35">
      <c r="A52" s="5"/>
      <c r="B52" s="5"/>
      <c r="C52" s="5"/>
      <c r="D52" s="5"/>
      <c r="E52" s="5"/>
    </row>
    <row r="53" spans="1:5" x14ac:dyDescent="0.35">
      <c r="A53" s="5"/>
      <c r="B53" s="5"/>
      <c r="C53" s="5"/>
      <c r="D53" s="5"/>
      <c r="E53" s="5"/>
    </row>
    <row r="54" spans="1:5" x14ac:dyDescent="0.35">
      <c r="A54" s="5"/>
      <c r="B54" s="5"/>
      <c r="C54" s="5"/>
      <c r="D54" s="5"/>
      <c r="E54" s="5"/>
    </row>
    <row r="55" spans="1:5" x14ac:dyDescent="0.35">
      <c r="A55" s="5"/>
      <c r="B55" s="5"/>
      <c r="C55" s="5"/>
      <c r="D55" s="5"/>
      <c r="E55" s="5"/>
    </row>
    <row r="56" spans="1:5" x14ac:dyDescent="0.35">
      <c r="A56" s="5"/>
      <c r="B56" s="5"/>
      <c r="C56" s="5"/>
      <c r="D56" s="5"/>
      <c r="E56" s="5"/>
    </row>
    <row r="57" spans="1:5" x14ac:dyDescent="0.35">
      <c r="A57" s="5"/>
      <c r="B57" s="5"/>
      <c r="C57" s="5"/>
      <c r="D57" s="5"/>
      <c r="E57" s="5"/>
    </row>
    <row r="58" spans="1:5" x14ac:dyDescent="0.35">
      <c r="A58" s="5"/>
      <c r="B58" s="5"/>
      <c r="C58" s="5"/>
      <c r="D58" s="5"/>
      <c r="E58" s="5"/>
    </row>
    <row r="59" spans="1:5" x14ac:dyDescent="0.35">
      <c r="A59" s="5"/>
      <c r="B59" s="5"/>
      <c r="C59" s="5"/>
      <c r="D59" s="5"/>
      <c r="E59" s="5"/>
    </row>
    <row r="60" spans="1:5" x14ac:dyDescent="0.35">
      <c r="A60" s="5"/>
      <c r="B60" s="5"/>
      <c r="C60" s="5"/>
      <c r="D60" s="5"/>
      <c r="E60" s="5"/>
    </row>
    <row r="61" spans="1:5" x14ac:dyDescent="0.35">
      <c r="A61" s="5"/>
      <c r="B61" s="5"/>
      <c r="C61" s="5"/>
      <c r="D61" s="5"/>
      <c r="E61" s="5"/>
    </row>
    <row r="62" spans="1:5" x14ac:dyDescent="0.35">
      <c r="A62" s="5"/>
      <c r="B62" s="5"/>
      <c r="C62" s="5"/>
      <c r="D62" s="5"/>
      <c r="E62" s="5"/>
    </row>
    <row r="63" spans="1:5" x14ac:dyDescent="0.35">
      <c r="A63" s="5"/>
      <c r="B63" s="5"/>
      <c r="C63" s="5"/>
      <c r="D63" s="5"/>
      <c r="E63" s="5"/>
    </row>
    <row r="64" spans="1:5" x14ac:dyDescent="0.35">
      <c r="A64" s="5"/>
      <c r="B64" s="5"/>
      <c r="C64" s="5"/>
      <c r="D64" s="5"/>
      <c r="E64" s="5"/>
    </row>
    <row r="65" spans="1:5" x14ac:dyDescent="0.35">
      <c r="A65" s="5"/>
      <c r="B65" s="5"/>
      <c r="C65" s="5"/>
      <c r="D65" s="5"/>
      <c r="E65" s="5"/>
    </row>
    <row r="66" spans="1:5" x14ac:dyDescent="0.35">
      <c r="A66" s="5"/>
      <c r="B66" s="5"/>
      <c r="C66" s="5"/>
      <c r="D66" s="5"/>
      <c r="E66" s="5"/>
    </row>
    <row r="67" spans="1:5" x14ac:dyDescent="0.35">
      <c r="A67" s="5"/>
      <c r="B67" s="5"/>
      <c r="C67" s="5"/>
      <c r="D67" s="5"/>
      <c r="E67" s="5"/>
    </row>
    <row r="68" spans="1:5" x14ac:dyDescent="0.35">
      <c r="A68" s="5"/>
      <c r="B68" s="5"/>
      <c r="C68" s="5"/>
      <c r="D68" s="5"/>
      <c r="E68" s="5"/>
    </row>
    <row r="69" spans="1:5" x14ac:dyDescent="0.35">
      <c r="A69" s="5"/>
      <c r="B69" s="5"/>
      <c r="C69" s="5"/>
      <c r="D69" s="5"/>
      <c r="E69" s="5"/>
    </row>
    <row r="70" spans="1:5" x14ac:dyDescent="0.35">
      <c r="A70" s="5"/>
      <c r="B70" s="5"/>
      <c r="C70" s="5"/>
      <c r="D70" s="5"/>
      <c r="E70" s="5"/>
    </row>
    <row r="71" spans="1:5" x14ac:dyDescent="0.35">
      <c r="A71" s="5"/>
      <c r="B71" s="5"/>
      <c r="C71" s="5"/>
      <c r="D71" s="5"/>
      <c r="E71" s="5"/>
    </row>
    <row r="72" spans="1:5" x14ac:dyDescent="0.35">
      <c r="A72" s="5"/>
      <c r="B72" s="5"/>
      <c r="C72" s="5"/>
      <c r="D72" s="5"/>
      <c r="E72" s="5"/>
    </row>
    <row r="73" spans="1:5" x14ac:dyDescent="0.35">
      <c r="A73" s="5"/>
      <c r="B73" s="5"/>
      <c r="C73" s="5"/>
      <c r="D73" s="5"/>
      <c r="E73" s="5"/>
    </row>
    <row r="74" spans="1:5" x14ac:dyDescent="0.35">
      <c r="A74" s="5"/>
      <c r="B74" s="5"/>
      <c r="C74" s="5"/>
      <c r="D74" s="5"/>
      <c r="E74" s="5"/>
    </row>
    <row r="75" spans="1:5" x14ac:dyDescent="0.35">
      <c r="A75" s="5"/>
      <c r="B75" s="5"/>
      <c r="C75" s="5"/>
      <c r="D75" s="5"/>
      <c r="E75" s="5"/>
    </row>
    <row r="76" spans="1:5" x14ac:dyDescent="0.35">
      <c r="A76" s="5"/>
      <c r="B76" s="5"/>
      <c r="C76" s="5"/>
      <c r="D76" s="5"/>
      <c r="E76" s="5"/>
    </row>
    <row r="77" spans="1:5" x14ac:dyDescent="0.35">
      <c r="A77" s="5"/>
      <c r="B77" s="5"/>
      <c r="C77" s="5"/>
      <c r="D77" s="5"/>
      <c r="E77" s="5"/>
    </row>
    <row r="78" spans="1:5" x14ac:dyDescent="0.35">
      <c r="A78" s="5"/>
      <c r="B78" s="5"/>
      <c r="C78" s="5"/>
      <c r="D78" s="5"/>
      <c r="E78" s="5"/>
    </row>
    <row r="79" spans="1:5" x14ac:dyDescent="0.35">
      <c r="A79" s="5"/>
      <c r="B79" s="5"/>
      <c r="C79" s="5"/>
      <c r="D79" s="5"/>
      <c r="E79" s="5"/>
    </row>
    <row r="80" spans="1:5" x14ac:dyDescent="0.35">
      <c r="A80" s="5"/>
      <c r="B80" s="5"/>
      <c r="C80" s="5"/>
      <c r="D80" s="5"/>
      <c r="E80" s="5"/>
    </row>
  </sheetData>
  <hyperlinks>
    <hyperlink ref="B24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66B"/>
  </sheetPr>
  <dimension ref="A1:I80"/>
  <sheetViews>
    <sheetView showGridLines="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" customWidth="1"/>
    <col min="2" max="2" width="52" customWidth="1"/>
    <col min="3" max="7" width="17" customWidth="1"/>
    <col min="8" max="8" width="46" customWidth="1"/>
  </cols>
  <sheetData>
    <row r="1" spans="1:9" ht="30" customHeight="1" x14ac:dyDescent="0.35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44" customHeight="1" x14ac:dyDescent="0.35">
      <c r="A2" s="1"/>
      <c r="B2" s="3" t="s">
        <v>49</v>
      </c>
      <c r="C2" s="1"/>
      <c r="D2" s="1"/>
      <c r="E2" s="1"/>
      <c r="F2" s="1"/>
      <c r="G2" s="1"/>
      <c r="H2" s="1"/>
      <c r="I2" s="1"/>
    </row>
    <row r="3" spans="1:9" ht="30" customHeight="1" x14ac:dyDescent="0.35">
      <c r="A3" s="1"/>
      <c r="B3" s="4" t="s">
        <v>50</v>
      </c>
      <c r="C3" s="1"/>
      <c r="D3" s="1"/>
      <c r="E3" s="1"/>
      <c r="F3" s="1"/>
      <c r="G3" s="1"/>
      <c r="H3" s="1"/>
      <c r="I3" s="1"/>
    </row>
    <row r="4" spans="1:9" ht="12" customHeight="1" x14ac:dyDescent="0.35">
      <c r="A4" s="5"/>
      <c r="B4" s="5"/>
      <c r="C4" s="5"/>
      <c r="D4" s="5"/>
      <c r="E4" s="5"/>
      <c r="F4" s="5"/>
      <c r="G4" s="5"/>
      <c r="H4" s="5"/>
      <c r="I4" s="5"/>
    </row>
    <row r="5" spans="1:9" ht="46" customHeight="1" x14ac:dyDescent="0.35">
      <c r="A5" s="5"/>
      <c r="B5" s="17" t="s">
        <v>51</v>
      </c>
      <c r="C5" s="17" t="s">
        <v>52</v>
      </c>
      <c r="D5" s="17" t="s">
        <v>53</v>
      </c>
      <c r="E5" s="17" t="s">
        <v>54</v>
      </c>
      <c r="F5" s="17" t="s">
        <v>55</v>
      </c>
      <c r="G5" s="17" t="s">
        <v>56</v>
      </c>
      <c r="H5" s="17" t="s">
        <v>57</v>
      </c>
      <c r="I5" s="5"/>
    </row>
    <row r="6" spans="1:9" x14ac:dyDescent="0.35">
      <c r="A6" s="5"/>
      <c r="B6" s="18" t="s">
        <v>58</v>
      </c>
      <c r="C6" s="19" t="s">
        <v>59</v>
      </c>
      <c r="D6" s="19" t="s">
        <v>60</v>
      </c>
      <c r="E6" s="19" t="s">
        <v>61</v>
      </c>
      <c r="F6" s="19" t="s">
        <v>62</v>
      </c>
      <c r="G6" s="19" t="s">
        <v>63</v>
      </c>
      <c r="H6" s="10" t="s">
        <v>64</v>
      </c>
      <c r="I6" s="5"/>
    </row>
    <row r="7" spans="1:9" x14ac:dyDescent="0.35">
      <c r="A7" s="5"/>
      <c r="B7" s="5"/>
      <c r="C7" s="5"/>
      <c r="D7" s="5"/>
      <c r="E7" s="5"/>
      <c r="F7" s="5"/>
      <c r="G7" s="5"/>
      <c r="H7" s="5"/>
      <c r="I7" s="5"/>
    </row>
    <row r="8" spans="1:9" ht="30" customHeight="1" x14ac:dyDescent="0.35">
      <c r="A8" s="5"/>
      <c r="B8" s="20" t="s">
        <v>65</v>
      </c>
      <c r="C8" s="21"/>
      <c r="D8" s="21"/>
      <c r="E8" s="21"/>
      <c r="F8" s="21"/>
      <c r="G8" s="21"/>
      <c r="H8" s="21"/>
      <c r="I8" s="5"/>
    </row>
    <row r="9" spans="1:9" x14ac:dyDescent="0.35">
      <c r="A9" s="5"/>
      <c r="B9" s="8" t="s">
        <v>66</v>
      </c>
      <c r="C9" s="22">
        <v>2.6</v>
      </c>
      <c r="D9" s="22">
        <v>1.9</v>
      </c>
      <c r="E9" s="22">
        <v>1.4</v>
      </c>
      <c r="F9" s="22">
        <v>0.9</v>
      </c>
      <c r="G9" s="22">
        <v>1.3</v>
      </c>
      <c r="H9" s="10" t="s">
        <v>67</v>
      </c>
      <c r="I9" s="5"/>
    </row>
    <row r="10" spans="1:9" x14ac:dyDescent="0.35">
      <c r="A10" s="5"/>
      <c r="B10" s="8" t="s">
        <v>68</v>
      </c>
      <c r="C10" s="23">
        <v>900</v>
      </c>
      <c r="D10" s="23">
        <v>1400</v>
      </c>
      <c r="E10" s="23">
        <v>1100</v>
      </c>
      <c r="F10" s="23">
        <v>600</v>
      </c>
      <c r="G10" s="23">
        <v>1000</v>
      </c>
      <c r="H10" s="10"/>
      <c r="I10" s="5"/>
    </row>
    <row r="11" spans="1:9" x14ac:dyDescent="0.35">
      <c r="A11" s="5"/>
      <c r="B11" s="8" t="s">
        <v>69</v>
      </c>
      <c r="C11" s="22">
        <v>0</v>
      </c>
      <c r="D11" s="22">
        <v>1.5</v>
      </c>
      <c r="E11" s="22">
        <v>0</v>
      </c>
      <c r="F11" s="22">
        <v>0</v>
      </c>
      <c r="G11" s="22">
        <v>0.9</v>
      </c>
      <c r="H11" s="10" t="s">
        <v>70</v>
      </c>
      <c r="I11" s="5"/>
    </row>
    <row r="12" spans="1:9" x14ac:dyDescent="0.35">
      <c r="A12" s="5"/>
      <c r="B12" s="8" t="s">
        <v>71</v>
      </c>
      <c r="C12" s="23">
        <v>0</v>
      </c>
      <c r="D12" s="23">
        <v>350</v>
      </c>
      <c r="E12" s="23">
        <v>0</v>
      </c>
      <c r="F12" s="23">
        <v>0</v>
      </c>
      <c r="G12" s="23">
        <v>300</v>
      </c>
      <c r="H12" s="10"/>
      <c r="I12" s="5"/>
    </row>
    <row r="13" spans="1:9" x14ac:dyDescent="0.35">
      <c r="A13" s="5"/>
      <c r="B13" s="8" t="s">
        <v>72</v>
      </c>
      <c r="C13" s="23">
        <v>60</v>
      </c>
      <c r="D13" s="23">
        <v>180</v>
      </c>
      <c r="E13" s="23">
        <v>40</v>
      </c>
      <c r="F13" s="23">
        <v>0</v>
      </c>
      <c r="G13" s="23">
        <v>30</v>
      </c>
      <c r="H13" s="10" t="s">
        <v>73</v>
      </c>
      <c r="I13" s="5"/>
    </row>
    <row r="14" spans="1:9" x14ac:dyDescent="0.35">
      <c r="A14" s="5"/>
      <c r="B14" s="8" t="s">
        <v>74</v>
      </c>
      <c r="C14" s="11">
        <v>0.1</v>
      </c>
      <c r="D14" s="11">
        <v>0.1</v>
      </c>
      <c r="E14" s="11">
        <v>0.1</v>
      </c>
      <c r="F14" s="11">
        <v>0.1</v>
      </c>
      <c r="G14" s="11">
        <v>0.1</v>
      </c>
      <c r="H14" s="10" t="s">
        <v>75</v>
      </c>
      <c r="I14" s="5"/>
    </row>
    <row r="15" spans="1:9" x14ac:dyDescent="0.35">
      <c r="A15" s="5"/>
      <c r="B15" s="18" t="s">
        <v>76</v>
      </c>
      <c r="C15" s="24">
        <f>IF(C$6="","",(C9*C10+C11*C12)*(1+C14)+C13)</f>
        <v>2634</v>
      </c>
      <c r="D15" s="24">
        <f>IF(D$6="","",(D9*D10+D11*D12)*(1+D14)+D13)</f>
        <v>3683.5000000000005</v>
      </c>
      <c r="E15" s="24">
        <f>IF(E$6="","",(E9*E10+E11*E12)*(1+E14)+E13)</f>
        <v>1734.0000000000002</v>
      </c>
      <c r="F15" s="24">
        <f>IF(F$6="","",(F9*F10+F11*F12)*(1+F14)+F13)</f>
        <v>594</v>
      </c>
      <c r="G15" s="24">
        <f>IF(G$6="","",(G9*G10+G11*G12)*(1+G14)+G13)</f>
        <v>1757.0000000000002</v>
      </c>
      <c r="H15" s="10"/>
      <c r="I15" s="5"/>
    </row>
    <row r="16" spans="1:9" x14ac:dyDescent="0.35">
      <c r="A16" s="5"/>
      <c r="B16" s="5"/>
      <c r="C16" s="5"/>
      <c r="D16" s="5"/>
      <c r="E16" s="5"/>
      <c r="F16" s="5"/>
      <c r="G16" s="5"/>
      <c r="H16" s="5"/>
      <c r="I16" s="5"/>
    </row>
    <row r="17" spans="1:9" ht="30" customHeight="1" x14ac:dyDescent="0.35">
      <c r="A17" s="5"/>
      <c r="B17" s="20" t="s">
        <v>77</v>
      </c>
      <c r="C17" s="21"/>
      <c r="D17" s="21"/>
      <c r="E17" s="21"/>
      <c r="F17" s="21"/>
      <c r="G17" s="21"/>
      <c r="H17" s="21"/>
      <c r="I17" s="5"/>
    </row>
    <row r="18" spans="1:9" x14ac:dyDescent="0.35">
      <c r="A18" s="5"/>
      <c r="B18" s="8" t="s">
        <v>78</v>
      </c>
      <c r="C18" s="23">
        <v>120</v>
      </c>
      <c r="D18" s="23">
        <v>200</v>
      </c>
      <c r="E18" s="23">
        <v>30</v>
      </c>
      <c r="F18" s="23">
        <v>0</v>
      </c>
      <c r="G18" s="23">
        <v>0</v>
      </c>
      <c r="H18" s="10"/>
      <c r="I18" s="5"/>
    </row>
    <row r="19" spans="1:9" x14ac:dyDescent="0.35">
      <c r="A19" s="5"/>
      <c r="B19" s="8" t="s">
        <v>79</v>
      </c>
      <c r="C19" s="23">
        <v>0</v>
      </c>
      <c r="D19" s="23">
        <v>0</v>
      </c>
      <c r="E19" s="23">
        <v>60</v>
      </c>
      <c r="F19" s="23">
        <v>0</v>
      </c>
      <c r="G19" s="23">
        <v>60</v>
      </c>
      <c r="H19" s="10"/>
      <c r="I19" s="5"/>
    </row>
    <row r="20" spans="1:9" x14ac:dyDescent="0.35">
      <c r="A20" s="5"/>
      <c r="B20" s="8" t="s">
        <v>80</v>
      </c>
      <c r="C20" s="23">
        <v>40</v>
      </c>
      <c r="D20" s="23">
        <v>60</v>
      </c>
      <c r="E20" s="23">
        <v>40</v>
      </c>
      <c r="F20" s="23">
        <v>20</v>
      </c>
      <c r="G20" s="23">
        <v>30</v>
      </c>
      <c r="H20" s="10"/>
      <c r="I20" s="5"/>
    </row>
    <row r="21" spans="1:9" x14ac:dyDescent="0.35">
      <c r="A21" s="5"/>
      <c r="B21" s="8" t="s">
        <v>81</v>
      </c>
      <c r="C21" s="23">
        <v>0</v>
      </c>
      <c r="D21" s="23">
        <v>50</v>
      </c>
      <c r="E21" s="23">
        <v>0</v>
      </c>
      <c r="F21" s="23">
        <v>0</v>
      </c>
      <c r="G21" s="23">
        <v>0</v>
      </c>
      <c r="H21" s="10" t="s">
        <v>82</v>
      </c>
      <c r="I21" s="5"/>
    </row>
    <row r="22" spans="1:9" x14ac:dyDescent="0.35">
      <c r="A22" s="5"/>
      <c r="B22" s="18" t="s">
        <v>83</v>
      </c>
      <c r="C22" s="24">
        <f>IF(C$6="","",C18+C19+C20+C21)</f>
        <v>160</v>
      </c>
      <c r="D22" s="24">
        <f>IF(D$6="","",D18+D19+D20+D21)</f>
        <v>310</v>
      </c>
      <c r="E22" s="24">
        <f>IF(E$6="","",E18+E19+E20+E21)</f>
        <v>130</v>
      </c>
      <c r="F22" s="24">
        <f>IF(F$6="","",F18+F19+F20+F21)</f>
        <v>20</v>
      </c>
      <c r="G22" s="24">
        <f>IF(G$6="","",G18+G19+G20+G21)</f>
        <v>90</v>
      </c>
      <c r="H22" s="10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ht="30" customHeight="1" x14ac:dyDescent="0.35">
      <c r="A24" s="5"/>
      <c r="B24" s="20" t="s">
        <v>84</v>
      </c>
      <c r="C24" s="21"/>
      <c r="D24" s="21"/>
      <c r="E24" s="21"/>
      <c r="F24" s="21"/>
      <c r="G24" s="21"/>
      <c r="H24" s="21"/>
      <c r="I24" s="5"/>
    </row>
    <row r="25" spans="1:9" x14ac:dyDescent="0.35">
      <c r="A25" s="5"/>
      <c r="B25" s="8" t="s">
        <v>85</v>
      </c>
      <c r="C25" s="23">
        <v>250</v>
      </c>
      <c r="D25" s="23">
        <v>350</v>
      </c>
      <c r="E25" s="23">
        <v>200</v>
      </c>
      <c r="F25" s="23">
        <v>80</v>
      </c>
      <c r="G25" s="23">
        <v>150</v>
      </c>
      <c r="H25" s="10" t="s">
        <v>86</v>
      </c>
      <c r="I25" s="5"/>
    </row>
    <row r="26" spans="1:9" ht="25" x14ac:dyDescent="0.35">
      <c r="A26" s="5"/>
      <c r="B26" s="8" t="s">
        <v>87</v>
      </c>
      <c r="C26" s="23">
        <v>1500</v>
      </c>
      <c r="D26" s="23">
        <v>3200</v>
      </c>
      <c r="E26" s="23">
        <v>1200</v>
      </c>
      <c r="F26" s="23">
        <v>450</v>
      </c>
      <c r="G26" s="23">
        <v>1000</v>
      </c>
      <c r="H26" s="10" t="s">
        <v>88</v>
      </c>
      <c r="I26" s="5"/>
    </row>
    <row r="27" spans="1:9" ht="25" x14ac:dyDescent="0.35">
      <c r="A27" s="5"/>
      <c r="B27" s="8" t="s">
        <v>89</v>
      </c>
      <c r="C27" s="23">
        <v>150</v>
      </c>
      <c r="D27" s="23">
        <v>300</v>
      </c>
      <c r="E27" s="23">
        <v>150</v>
      </c>
      <c r="F27" s="23">
        <v>50</v>
      </c>
      <c r="G27" s="23">
        <v>100</v>
      </c>
      <c r="H27" s="10" t="s">
        <v>90</v>
      </c>
      <c r="I27" s="5"/>
    </row>
    <row r="28" spans="1:9" x14ac:dyDescent="0.35">
      <c r="A28" s="5"/>
      <c r="B28" s="8" t="s">
        <v>91</v>
      </c>
      <c r="C28" s="23">
        <v>50</v>
      </c>
      <c r="D28" s="23">
        <v>80</v>
      </c>
      <c r="E28" s="23">
        <v>50</v>
      </c>
      <c r="F28" s="23">
        <v>30</v>
      </c>
      <c r="G28" s="23">
        <v>40</v>
      </c>
      <c r="H28" s="10"/>
      <c r="I28" s="5"/>
    </row>
    <row r="29" spans="1:9" x14ac:dyDescent="0.35">
      <c r="A29" s="5"/>
      <c r="B29" s="18" t="s">
        <v>92</v>
      </c>
      <c r="C29" s="24">
        <f>IF(C$6="","",C25+C26+C27+C28)</f>
        <v>1950</v>
      </c>
      <c r="D29" s="24">
        <f>IF(D$6="","",D25+D26+D27+D28)</f>
        <v>3930</v>
      </c>
      <c r="E29" s="24">
        <f>IF(E$6="","",E25+E26+E27+E28)</f>
        <v>1600</v>
      </c>
      <c r="F29" s="24">
        <f>IF(F$6="","",F25+F26+F27+F28)</f>
        <v>610</v>
      </c>
      <c r="G29" s="24">
        <f>IF(G$6="","",G25+G26+G27+G28)</f>
        <v>1290</v>
      </c>
      <c r="H29" s="10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ht="30" customHeight="1" x14ac:dyDescent="0.35">
      <c r="A31" s="5"/>
      <c r="B31" s="20" t="s">
        <v>93</v>
      </c>
      <c r="C31" s="21"/>
      <c r="D31" s="21"/>
      <c r="E31" s="21"/>
      <c r="F31" s="21"/>
      <c r="G31" s="21"/>
      <c r="H31" s="21"/>
      <c r="I31" s="5"/>
    </row>
    <row r="32" spans="1:9" x14ac:dyDescent="0.35">
      <c r="A32" s="5"/>
      <c r="B32" s="8" t="s">
        <v>94</v>
      </c>
      <c r="C32" s="23">
        <v>40</v>
      </c>
      <c r="D32" s="23">
        <v>40</v>
      </c>
      <c r="E32" s="23">
        <v>40</v>
      </c>
      <c r="F32" s="23">
        <v>40</v>
      </c>
      <c r="G32" s="23">
        <v>40</v>
      </c>
      <c r="H32" s="10"/>
      <c r="I32" s="5"/>
    </row>
    <row r="33" spans="1:9" x14ac:dyDescent="0.35">
      <c r="A33" s="5"/>
      <c r="B33" s="8" t="s">
        <v>95</v>
      </c>
      <c r="C33" s="23">
        <v>1</v>
      </c>
      <c r="D33" s="23">
        <v>1</v>
      </c>
      <c r="E33" s="23">
        <v>1</v>
      </c>
      <c r="F33" s="23">
        <v>1</v>
      </c>
      <c r="G33" s="23">
        <v>1</v>
      </c>
      <c r="H33" s="10" t="s">
        <v>96</v>
      </c>
      <c r="I33" s="5"/>
    </row>
    <row r="34" spans="1:9" x14ac:dyDescent="0.35">
      <c r="A34" s="5"/>
      <c r="B34" s="8" t="s">
        <v>97</v>
      </c>
      <c r="C34" s="23">
        <v>60</v>
      </c>
      <c r="D34" s="23">
        <v>90</v>
      </c>
      <c r="E34" s="23">
        <v>60</v>
      </c>
      <c r="F34" s="23">
        <v>40</v>
      </c>
      <c r="G34" s="23">
        <v>60</v>
      </c>
      <c r="H34" s="10"/>
      <c r="I34" s="5"/>
    </row>
    <row r="35" spans="1:9" x14ac:dyDescent="0.35">
      <c r="A35" s="5"/>
      <c r="B35" s="8" t="s">
        <v>98</v>
      </c>
      <c r="C35" s="23">
        <v>50</v>
      </c>
      <c r="D35" s="23">
        <v>70</v>
      </c>
      <c r="E35" s="23">
        <v>50</v>
      </c>
      <c r="F35" s="23">
        <v>30</v>
      </c>
      <c r="G35" s="23">
        <v>50</v>
      </c>
      <c r="H35" s="10"/>
      <c r="I35" s="5"/>
    </row>
    <row r="36" spans="1:9" x14ac:dyDescent="0.35">
      <c r="A36" s="5"/>
      <c r="B36" s="18" t="s">
        <v>99</v>
      </c>
      <c r="C36" s="24">
        <f>IF(C$6="","",C32+C33+C34+C35)</f>
        <v>151</v>
      </c>
      <c r="D36" s="24">
        <f>IF(D$6="","",D32+D33+D34+D35)</f>
        <v>201</v>
      </c>
      <c r="E36" s="24">
        <f>IF(E$6="","",E32+E33+E34+E35)</f>
        <v>151</v>
      </c>
      <c r="F36" s="24">
        <f>IF(F$6="","",F32+F33+F34+F35)</f>
        <v>111</v>
      </c>
      <c r="G36" s="24">
        <f>IF(G$6="","",G32+G33+G34+G35)</f>
        <v>151</v>
      </c>
      <c r="H36" s="10"/>
      <c r="I36" s="5"/>
    </row>
    <row r="37" spans="1:9" x14ac:dyDescent="0.35">
      <c r="A37" s="5"/>
      <c r="B37" s="8" t="s">
        <v>100</v>
      </c>
      <c r="C37" s="11">
        <v>0.03</v>
      </c>
      <c r="D37" s="11">
        <v>0.03</v>
      </c>
      <c r="E37" s="11">
        <v>0.03</v>
      </c>
      <c r="F37" s="11">
        <v>0.03</v>
      </c>
      <c r="G37" s="11">
        <v>0.03</v>
      </c>
      <c r="H37" s="10" t="s">
        <v>101</v>
      </c>
      <c r="I37" s="5"/>
    </row>
    <row r="38" spans="1:9" ht="26" customHeight="1" x14ac:dyDescent="0.35">
      <c r="A38" s="5"/>
      <c r="B38" s="25" t="s">
        <v>102</v>
      </c>
      <c r="C38" s="26">
        <f>IF(C$6="","",ROUND((C15+C22+C29+C36)*(1+C37),0))</f>
        <v>5042</v>
      </c>
      <c r="D38" s="26">
        <f>IF(D$6="","",ROUND((D15+D22+D29+D36)*(1+D37),0))</f>
        <v>8368</v>
      </c>
      <c r="E38" s="26">
        <f>IF(E$6="","",ROUND((E15+E22+E29+E36)*(1+E37),0))</f>
        <v>3723</v>
      </c>
      <c r="F38" s="26">
        <f>IF(F$6="","",ROUND((F15+F22+F29+F36)*(1+F37),0))</f>
        <v>1375</v>
      </c>
      <c r="G38" s="26">
        <f>IF(G$6="","",ROUND((G15+G22+G29+G36)*(1+G37),0))</f>
        <v>3387</v>
      </c>
      <c r="H38" s="10" t="s">
        <v>103</v>
      </c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ht="30" customHeight="1" x14ac:dyDescent="0.35">
      <c r="A40" s="5"/>
      <c r="B40" s="20" t="s">
        <v>104</v>
      </c>
      <c r="C40" s="21"/>
      <c r="D40" s="21"/>
      <c r="E40" s="21"/>
      <c r="F40" s="21"/>
      <c r="G40" s="21"/>
      <c r="H40" s="21"/>
      <c r="I40" s="5"/>
    </row>
    <row r="41" spans="1:9" x14ac:dyDescent="0.35">
      <c r="A41" s="5"/>
      <c r="B41" s="8" t="s">
        <v>105</v>
      </c>
      <c r="C41" s="23">
        <v>12000</v>
      </c>
      <c r="D41" s="23">
        <v>18000</v>
      </c>
      <c r="E41" s="23">
        <v>10000</v>
      </c>
      <c r="F41" s="23">
        <v>6000</v>
      </c>
      <c r="G41" s="23">
        <v>8000</v>
      </c>
      <c r="H41" s="10" t="s">
        <v>106</v>
      </c>
      <c r="I41" s="5"/>
    </row>
    <row r="42" spans="1:9" x14ac:dyDescent="0.35">
      <c r="A42" s="5"/>
      <c r="B42" s="8" t="s">
        <v>107</v>
      </c>
      <c r="C42" s="23">
        <v>9000</v>
      </c>
      <c r="D42" s="23">
        <v>14000</v>
      </c>
      <c r="E42" s="23">
        <v>7000</v>
      </c>
      <c r="F42" s="23">
        <v>4000</v>
      </c>
      <c r="G42" s="23">
        <v>6000</v>
      </c>
      <c r="H42" s="10"/>
      <c r="I42" s="5"/>
    </row>
    <row r="43" spans="1:9" x14ac:dyDescent="0.35">
      <c r="A43" s="5"/>
      <c r="B43" s="8" t="s">
        <v>32</v>
      </c>
      <c r="C43" s="14">
        <f>Капсула!E6</f>
        <v>9</v>
      </c>
      <c r="D43" s="14">
        <f>Капсула!E7</f>
        <v>9</v>
      </c>
      <c r="E43" s="14">
        <f>Капсула!E8</f>
        <v>9</v>
      </c>
      <c r="F43" s="14">
        <f>Капсула!E9</f>
        <v>9</v>
      </c>
      <c r="G43" s="14">
        <f>Капсула!E10</f>
        <v>9</v>
      </c>
      <c r="H43" s="10" t="s">
        <v>108</v>
      </c>
      <c r="I43" s="5"/>
    </row>
    <row r="44" spans="1:9" ht="25" x14ac:dyDescent="0.35">
      <c r="A44" s="5"/>
      <c r="B44" s="18" t="s">
        <v>109</v>
      </c>
      <c r="C44" s="24">
        <f>IF(C$6="","",IF(N(C43)=0,0,ROUND((C41+C42)/C43,0)))</f>
        <v>2333</v>
      </c>
      <c r="D44" s="24">
        <f>IF(D$6="","",IF(N(D43)=0,0,ROUND((D41+D42)/D43,0)))</f>
        <v>3556</v>
      </c>
      <c r="E44" s="24">
        <f>IF(E$6="","",IF(N(E43)=0,0,ROUND((E41+E42)/E43,0)))</f>
        <v>1889</v>
      </c>
      <c r="F44" s="24">
        <f>IF(F$6="","",IF(N(F43)=0,0,ROUND((F41+F42)/F43,0)))</f>
        <v>1111</v>
      </c>
      <c r="G44" s="24">
        <f>IF(G$6="","",IF(N(G43)=0,0,ROUND((G41+G42)/G43,0)))</f>
        <v>1556</v>
      </c>
      <c r="H44" s="10" t="s">
        <v>110</v>
      </c>
      <c r="I44" s="5"/>
    </row>
    <row r="45" spans="1:9" ht="25" x14ac:dyDescent="0.35">
      <c r="A45" s="5"/>
      <c r="B45" s="18" t="s">
        <v>111</v>
      </c>
      <c r="C45" s="24">
        <f>IF(C$6="","",C38+C44)</f>
        <v>7375</v>
      </c>
      <c r="D45" s="24">
        <f>IF(D$6="","",D38+D44)</f>
        <v>11924</v>
      </c>
      <c r="E45" s="24">
        <f>IF(E$6="","",E38+E44)</f>
        <v>5612</v>
      </c>
      <c r="F45" s="24">
        <f>IF(F$6="","",F38+F44)</f>
        <v>2486</v>
      </c>
      <c r="G45" s="24">
        <f>IF(G$6="","",G38+G44)</f>
        <v>4943</v>
      </c>
      <c r="H45" s="10" t="s">
        <v>112</v>
      </c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ht="30" customHeight="1" x14ac:dyDescent="0.35">
      <c r="A47" s="5"/>
      <c r="B47" s="20" t="s">
        <v>113</v>
      </c>
      <c r="C47" s="21"/>
      <c r="D47" s="21"/>
      <c r="E47" s="21"/>
      <c r="F47" s="21"/>
      <c r="G47" s="21"/>
      <c r="H47" s="21"/>
      <c r="I47" s="5"/>
    </row>
    <row r="48" spans="1:9" x14ac:dyDescent="0.35">
      <c r="A48" s="5"/>
      <c r="B48" s="8" t="s">
        <v>114</v>
      </c>
      <c r="C48" s="15">
        <v>3</v>
      </c>
      <c r="D48" s="15">
        <v>2.8</v>
      </c>
      <c r="E48" s="15">
        <v>3</v>
      </c>
      <c r="F48" s="15">
        <v>3</v>
      </c>
      <c r="G48" s="15">
        <v>3</v>
      </c>
      <c r="H48" s="10" t="s">
        <v>115</v>
      </c>
      <c r="I48" s="5"/>
    </row>
    <row r="49" spans="1:9" x14ac:dyDescent="0.35">
      <c r="A49" s="5"/>
      <c r="B49" s="18" t="s">
        <v>116</v>
      </c>
      <c r="C49" s="24">
        <f>IF(C$6="","",ROUND(C38*C48,-2))</f>
        <v>15100</v>
      </c>
      <c r="D49" s="24">
        <f>IF(D$6="","",ROUND(D38*D48,-2))</f>
        <v>23400</v>
      </c>
      <c r="E49" s="24">
        <f>IF(E$6="","",ROUND(E38*E48,-2))</f>
        <v>11200</v>
      </c>
      <c r="F49" s="24">
        <f>IF(F$6="","",ROUND(F38*F48,-2))</f>
        <v>4100</v>
      </c>
      <c r="G49" s="24">
        <f>IF(G$6="","",ROUND(G38*G48,-2))</f>
        <v>10200</v>
      </c>
      <c r="H49" s="10" t="s">
        <v>117</v>
      </c>
      <c r="I49" s="5"/>
    </row>
    <row r="50" spans="1:9" ht="25" x14ac:dyDescent="0.35">
      <c r="A50" s="5"/>
      <c r="B50" s="8" t="s">
        <v>118</v>
      </c>
      <c r="C50" s="24">
        <f>IF(C$6="","",ROUND(C49*(1-$C$56)-C38,0))</f>
        <v>9303</v>
      </c>
      <c r="D50" s="24">
        <f>IF(D$6="","",ROUND(D49*(1-$C$56)-D38,0))</f>
        <v>13862</v>
      </c>
      <c r="E50" s="24">
        <f>IF(E$6="","",ROUND(E49*(1-$C$56)-E38,0))</f>
        <v>6917</v>
      </c>
      <c r="F50" s="24">
        <f>IF(F$6="","",ROUND(F49*(1-$C$56)-F38,0))</f>
        <v>2520</v>
      </c>
      <c r="G50" s="24">
        <f>IF(G$6="","",ROUND(G49*(1-$C$56)-G38,0))</f>
        <v>6303</v>
      </c>
      <c r="H50" s="10" t="s">
        <v>119</v>
      </c>
      <c r="I50" s="5"/>
    </row>
    <row r="51" spans="1:9" x14ac:dyDescent="0.35">
      <c r="A51" s="5"/>
      <c r="B51" s="8" t="s">
        <v>120</v>
      </c>
      <c r="C51" s="24">
        <f>IF(C$6="","",ROUND(C49*(1-$C$57)-C38,0))</f>
        <v>4773</v>
      </c>
      <c r="D51" s="24">
        <f>IF(D$6="","",ROUND(D49*(1-$C$57)-D38,0))</f>
        <v>6842</v>
      </c>
      <c r="E51" s="24">
        <f>IF(E$6="","",ROUND(E49*(1-$C$57)-E38,0))</f>
        <v>3557</v>
      </c>
      <c r="F51" s="24">
        <f>IF(F$6="","",ROUND(F49*(1-$C$57)-F38,0))</f>
        <v>1290</v>
      </c>
      <c r="G51" s="24">
        <f>IF(G$6="","",ROUND(G49*(1-$C$57)-G38,0))</f>
        <v>3243</v>
      </c>
      <c r="H51" s="10" t="s">
        <v>121</v>
      </c>
      <c r="I51" s="5"/>
    </row>
    <row r="52" spans="1:9" ht="25" x14ac:dyDescent="0.35">
      <c r="A52" s="5"/>
      <c r="B52" s="8" t="s">
        <v>122</v>
      </c>
      <c r="C52" s="24">
        <f>IF(C$6="","",ROUND(C49*(1-$C$58)-C38,0))</f>
        <v>4018</v>
      </c>
      <c r="D52" s="24">
        <f>IF(D$6="","",ROUND(D49*(1-$C$58)-D38,0))</f>
        <v>5672</v>
      </c>
      <c r="E52" s="24">
        <f>IF(E$6="","",ROUND(E49*(1-$C$58)-E38,0))</f>
        <v>2997</v>
      </c>
      <c r="F52" s="24">
        <f>IF(F$6="","",ROUND(F49*(1-$C$58)-F38,0))</f>
        <v>1085</v>
      </c>
      <c r="G52" s="24">
        <f>IF(G$6="","",ROUND(G49*(1-$C$58)-G38,0))</f>
        <v>2733</v>
      </c>
      <c r="H52" s="10" t="s">
        <v>123</v>
      </c>
      <c r="I52" s="5"/>
    </row>
    <row r="53" spans="1:9" x14ac:dyDescent="0.35">
      <c r="A53" s="5"/>
      <c r="B53" s="8" t="s">
        <v>124</v>
      </c>
      <c r="C53" s="24">
        <f>IF(C$6="","",ROUND(C49*(1-$C$59)-C38,0))</f>
        <v>2508</v>
      </c>
      <c r="D53" s="24">
        <f>IF(D$6="","",ROUND(D49*(1-$C$59)-D38,0))</f>
        <v>3332</v>
      </c>
      <c r="E53" s="24">
        <f>IF(E$6="","",ROUND(E49*(1-$C$59)-E38,0))</f>
        <v>1877</v>
      </c>
      <c r="F53" s="24">
        <f>IF(F$6="","",ROUND(F49*(1-$C$59)-F38,0))</f>
        <v>675</v>
      </c>
      <c r="G53" s="24">
        <f>IF(G$6="","",ROUND(G49*(1-$C$59)-G38,0))</f>
        <v>1713</v>
      </c>
      <c r="H53" s="10" t="s">
        <v>125</v>
      </c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ht="30" customHeight="1" x14ac:dyDescent="0.35">
      <c r="A55" s="5"/>
      <c r="B55" s="20" t="s">
        <v>126</v>
      </c>
      <c r="C55" s="21"/>
      <c r="D55" s="21"/>
      <c r="E55" s="21"/>
      <c r="F55" s="21"/>
      <c r="G55" s="21"/>
      <c r="H55" s="21"/>
      <c r="I55" s="5"/>
    </row>
    <row r="56" spans="1:9" ht="25" x14ac:dyDescent="0.35">
      <c r="A56" s="5"/>
      <c r="B56" s="8" t="s">
        <v>127</v>
      </c>
      <c r="C56" s="11">
        <v>0.05</v>
      </c>
      <c r="D56" s="5"/>
      <c r="E56" s="5"/>
      <c r="F56" s="5"/>
      <c r="G56" s="5"/>
      <c r="H56" s="10" t="s">
        <v>119</v>
      </c>
      <c r="I56" s="5"/>
    </row>
    <row r="57" spans="1:9" x14ac:dyDescent="0.35">
      <c r="A57" s="5"/>
      <c r="B57" s="8" t="s">
        <v>128</v>
      </c>
      <c r="C57" s="11">
        <v>0.35</v>
      </c>
      <c r="D57" s="5"/>
      <c r="E57" s="5"/>
      <c r="F57" s="5"/>
      <c r="G57" s="5"/>
      <c r="H57" s="10" t="s">
        <v>121</v>
      </c>
      <c r="I57" s="5"/>
    </row>
    <row r="58" spans="1:9" ht="25" x14ac:dyDescent="0.35">
      <c r="A58" s="5"/>
      <c r="B58" s="8" t="s">
        <v>129</v>
      </c>
      <c r="C58" s="11">
        <v>0.4</v>
      </c>
      <c r="D58" s="5"/>
      <c r="E58" s="5"/>
      <c r="F58" s="5"/>
      <c r="G58" s="5"/>
      <c r="H58" s="10" t="s">
        <v>123</v>
      </c>
      <c r="I58" s="5"/>
    </row>
    <row r="59" spans="1:9" x14ac:dyDescent="0.35">
      <c r="A59" s="5"/>
      <c r="B59" s="8" t="s">
        <v>130</v>
      </c>
      <c r="C59" s="11">
        <v>0.5</v>
      </c>
      <c r="D59" s="5"/>
      <c r="E59" s="5"/>
      <c r="F59" s="5"/>
      <c r="G59" s="5"/>
      <c r="H59" s="10" t="s">
        <v>125</v>
      </c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35" t="s">
        <v>131</v>
      </c>
      <c r="C61" s="36"/>
      <c r="D61" s="36"/>
      <c r="E61" s="36"/>
      <c r="F61" s="36"/>
      <c r="G61" s="36"/>
      <c r="H61" s="36"/>
      <c r="I61" s="5"/>
    </row>
    <row r="62" spans="1:9" x14ac:dyDescent="0.35">
      <c r="A62" s="5"/>
      <c r="B62" s="36"/>
      <c r="C62" s="36"/>
      <c r="D62" s="36"/>
      <c r="E62" s="36"/>
      <c r="F62" s="36"/>
      <c r="G62" s="36"/>
      <c r="H62" s="36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</sheetData>
  <mergeCells count="1">
    <mergeCell ref="B61:H62"/>
  </mergeCells>
  <conditionalFormatting sqref="C50:G53">
    <cfRule type="cellIs" dxfId="0" priority="1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10D0A"/>
  </sheetPr>
  <dimension ref="A1:P80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" customWidth="1"/>
    <col min="2" max="2" width="24" customWidth="1"/>
    <col min="3" max="4" width="11" customWidth="1"/>
    <col min="5" max="5" width="10" customWidth="1"/>
    <col min="6" max="6" width="12" customWidth="1"/>
    <col min="7" max="7" width="11" customWidth="1"/>
    <col min="8" max="8" width="12" customWidth="1"/>
    <col min="9" max="9" width="13" customWidth="1"/>
    <col min="10" max="10" width="14" customWidth="1"/>
    <col min="11" max="11" width="15" customWidth="1"/>
    <col min="12" max="15" width="14" customWidth="1"/>
  </cols>
  <sheetData>
    <row r="1" spans="1:16" ht="30" customHeight="1" x14ac:dyDescent="0.3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44" customHeight="1" x14ac:dyDescent="0.35">
      <c r="A2" s="1"/>
      <c r="B2" s="3" t="s">
        <v>132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35">
      <c r="A3" s="1"/>
      <c r="B3" s="4" t="s">
        <v>133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2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62" customHeight="1" x14ac:dyDescent="0.35">
      <c r="A5" s="5"/>
      <c r="B5" s="27" t="s">
        <v>134</v>
      </c>
      <c r="C5" s="27" t="s">
        <v>135</v>
      </c>
      <c r="D5" s="27" t="s">
        <v>136</v>
      </c>
      <c r="E5" s="27" t="s">
        <v>137</v>
      </c>
      <c r="F5" s="27" t="s">
        <v>138</v>
      </c>
      <c r="G5" s="27" t="s">
        <v>139</v>
      </c>
      <c r="H5" s="27" t="s">
        <v>140</v>
      </c>
      <c r="I5" s="27" t="s">
        <v>141</v>
      </c>
      <c r="J5" s="27" t="s">
        <v>142</v>
      </c>
      <c r="K5" s="27" t="s">
        <v>143</v>
      </c>
      <c r="L5" s="27" t="s">
        <v>144</v>
      </c>
      <c r="M5" s="27" t="s">
        <v>145</v>
      </c>
      <c r="N5" s="27" t="s">
        <v>146</v>
      </c>
      <c r="O5" s="27" t="s">
        <v>147</v>
      </c>
      <c r="P5" s="5"/>
    </row>
    <row r="6" spans="1:16" x14ac:dyDescent="0.35">
      <c r="A6" s="5"/>
      <c r="B6" s="28" t="str">
        <f>IF(Калькулятор!C6="","",Калькулятор!C6)</f>
        <v>Платье-рубашка</v>
      </c>
      <c r="C6" s="29">
        <v>3</v>
      </c>
      <c r="D6" s="29">
        <v>3</v>
      </c>
      <c r="E6" s="14">
        <f t="shared" ref="E6:E15" si="0">IF(B6="","",C6*D6)</f>
        <v>9</v>
      </c>
      <c r="F6" s="30">
        <f>IF(Калькулятор!C$6="","",Калькулятор!C9)</f>
        <v>2.6</v>
      </c>
      <c r="G6" s="9">
        <f>IF(Калькулятор!C$6="","",Калькулятор!C10)</f>
        <v>900</v>
      </c>
      <c r="H6" s="9">
        <f>IF(Калькулятор!C$6="","",Калькулятор!C22)</f>
        <v>160</v>
      </c>
      <c r="I6" s="9">
        <f>IF(Калькулятор!C$6="","",Калькулятор!C29)</f>
        <v>1950</v>
      </c>
      <c r="J6" s="9">
        <f>IF(Калькулятор!C$6="","",Калькулятор!C36)</f>
        <v>151</v>
      </c>
      <c r="K6" s="24">
        <f>IF(Калькулятор!C$6="","",Калькулятор!C38)</f>
        <v>5042</v>
      </c>
      <c r="L6" s="9">
        <f>IF(Калькулятор!C$6="","",Калькулятор!C41)</f>
        <v>12000</v>
      </c>
      <c r="M6" s="9">
        <f>IF(Калькулятор!C$6="","",Калькулятор!C42)</f>
        <v>9000</v>
      </c>
      <c r="N6" s="9">
        <f t="shared" ref="N6:N15" si="1">IF(B6="","",L6+M6)</f>
        <v>21000</v>
      </c>
      <c r="O6" s="9">
        <f t="shared" ref="O6:O15" si="2">IF(B6="","",K6*E6)</f>
        <v>45378</v>
      </c>
      <c r="P6" s="5"/>
    </row>
    <row r="7" spans="1:16" x14ac:dyDescent="0.35">
      <c r="A7" s="5"/>
      <c r="B7" s="28" t="str">
        <f>IF(Калькулятор!D6="","",Калькулятор!D6)</f>
        <v>Жакет</v>
      </c>
      <c r="C7" s="29">
        <v>3</v>
      </c>
      <c r="D7" s="29">
        <v>3</v>
      </c>
      <c r="E7" s="14">
        <f t="shared" si="0"/>
        <v>9</v>
      </c>
      <c r="F7" s="30">
        <f>IF(Калькулятор!D$6="","",Калькулятор!D9)</f>
        <v>1.9</v>
      </c>
      <c r="G7" s="9">
        <f>IF(Калькулятор!D$6="","",Калькулятор!D10)</f>
        <v>1400</v>
      </c>
      <c r="H7" s="9">
        <f>IF(Калькулятор!D$6="","",Калькулятор!D22)</f>
        <v>310</v>
      </c>
      <c r="I7" s="9">
        <f>IF(Калькулятор!D$6="","",Калькулятор!D29)</f>
        <v>3930</v>
      </c>
      <c r="J7" s="9">
        <f>IF(Калькулятор!D$6="","",Калькулятор!D36)</f>
        <v>201</v>
      </c>
      <c r="K7" s="24">
        <f>IF(Калькулятор!D$6="","",Калькулятор!D38)</f>
        <v>8368</v>
      </c>
      <c r="L7" s="9">
        <f>IF(Калькулятор!D$6="","",Калькулятор!D41)</f>
        <v>18000</v>
      </c>
      <c r="M7" s="9">
        <f>IF(Калькулятор!D$6="","",Калькулятор!D42)</f>
        <v>14000</v>
      </c>
      <c r="N7" s="9">
        <f t="shared" si="1"/>
        <v>32000</v>
      </c>
      <c r="O7" s="9">
        <f t="shared" si="2"/>
        <v>75312</v>
      </c>
      <c r="P7" s="5"/>
    </row>
    <row r="8" spans="1:16" x14ac:dyDescent="0.35">
      <c r="A8" s="5"/>
      <c r="B8" s="28" t="str">
        <f>IF(Калькулятор!E6="","",Калькулятор!E6)</f>
        <v>Брюки прямые</v>
      </c>
      <c r="C8" s="29">
        <v>3</v>
      </c>
      <c r="D8" s="29">
        <v>3</v>
      </c>
      <c r="E8" s="14">
        <f t="shared" si="0"/>
        <v>9</v>
      </c>
      <c r="F8" s="30">
        <f>IF(Калькулятор!E$6="","",Калькулятор!E9)</f>
        <v>1.4</v>
      </c>
      <c r="G8" s="9">
        <f>IF(Калькулятор!E$6="","",Калькулятор!E10)</f>
        <v>1100</v>
      </c>
      <c r="H8" s="9">
        <f>IF(Калькулятор!E$6="","",Калькулятор!E22)</f>
        <v>130</v>
      </c>
      <c r="I8" s="9">
        <f>IF(Калькулятор!E$6="","",Калькулятор!E29)</f>
        <v>1600</v>
      </c>
      <c r="J8" s="9">
        <f>IF(Калькулятор!E$6="","",Калькулятор!E36)</f>
        <v>151</v>
      </c>
      <c r="K8" s="24">
        <f>IF(Калькулятор!E$6="","",Калькулятор!E38)</f>
        <v>3723</v>
      </c>
      <c r="L8" s="9">
        <f>IF(Калькулятор!E$6="","",Калькулятор!E41)</f>
        <v>10000</v>
      </c>
      <c r="M8" s="9">
        <f>IF(Калькулятор!E$6="","",Калькулятор!E42)</f>
        <v>7000</v>
      </c>
      <c r="N8" s="9">
        <f t="shared" si="1"/>
        <v>17000</v>
      </c>
      <c r="O8" s="9">
        <f t="shared" si="2"/>
        <v>33507</v>
      </c>
      <c r="P8" s="5"/>
    </row>
    <row r="9" spans="1:16" x14ac:dyDescent="0.35">
      <c r="A9" s="5"/>
      <c r="B9" s="28" t="str">
        <f>IF(Калькулятор!F6="","",Калькулятор!F6)</f>
        <v>Футболка</v>
      </c>
      <c r="C9" s="29">
        <v>3</v>
      </c>
      <c r="D9" s="29">
        <v>3</v>
      </c>
      <c r="E9" s="14">
        <f t="shared" si="0"/>
        <v>9</v>
      </c>
      <c r="F9" s="30">
        <f>IF(Калькулятор!F$6="","",Калькулятор!F9)</f>
        <v>0.9</v>
      </c>
      <c r="G9" s="9">
        <f>IF(Калькулятор!F$6="","",Калькулятор!F10)</f>
        <v>600</v>
      </c>
      <c r="H9" s="9">
        <f>IF(Калькулятор!F$6="","",Калькулятор!F22)</f>
        <v>20</v>
      </c>
      <c r="I9" s="9">
        <f>IF(Калькулятор!F$6="","",Калькулятор!F29)</f>
        <v>610</v>
      </c>
      <c r="J9" s="9">
        <f>IF(Калькулятор!F$6="","",Калькулятор!F36)</f>
        <v>111</v>
      </c>
      <c r="K9" s="24">
        <f>IF(Калькулятор!F$6="","",Калькулятор!F38)</f>
        <v>1375</v>
      </c>
      <c r="L9" s="9">
        <f>IF(Калькулятор!F$6="","",Калькулятор!F41)</f>
        <v>6000</v>
      </c>
      <c r="M9" s="9">
        <f>IF(Калькулятор!F$6="","",Калькулятор!F42)</f>
        <v>4000</v>
      </c>
      <c r="N9" s="9">
        <f t="shared" si="1"/>
        <v>10000</v>
      </c>
      <c r="O9" s="9">
        <f t="shared" si="2"/>
        <v>12375</v>
      </c>
      <c r="P9" s="5"/>
    </row>
    <row r="10" spans="1:16" x14ac:dyDescent="0.35">
      <c r="A10" s="5"/>
      <c r="B10" s="28" t="str">
        <f>IF(Калькулятор!G6="","",Калькулятор!G6)</f>
        <v>Юбка миди</v>
      </c>
      <c r="C10" s="29">
        <v>3</v>
      </c>
      <c r="D10" s="29">
        <v>3</v>
      </c>
      <c r="E10" s="14">
        <f t="shared" si="0"/>
        <v>9</v>
      </c>
      <c r="F10" s="30">
        <f>IF(Калькулятор!G$6="","",Калькулятор!G9)</f>
        <v>1.3</v>
      </c>
      <c r="G10" s="9">
        <f>IF(Калькулятор!G$6="","",Калькулятор!G10)</f>
        <v>1000</v>
      </c>
      <c r="H10" s="9">
        <f>IF(Калькулятор!G$6="","",Калькулятор!G22)</f>
        <v>90</v>
      </c>
      <c r="I10" s="9">
        <f>IF(Калькулятор!G$6="","",Калькулятор!G29)</f>
        <v>1290</v>
      </c>
      <c r="J10" s="9">
        <f>IF(Калькулятор!G$6="","",Калькулятор!G36)</f>
        <v>151</v>
      </c>
      <c r="K10" s="24">
        <f>IF(Калькулятор!G$6="","",Калькулятор!G38)</f>
        <v>3387</v>
      </c>
      <c r="L10" s="9">
        <f>IF(Калькулятор!G$6="","",Калькулятор!G41)</f>
        <v>8000</v>
      </c>
      <c r="M10" s="9">
        <f>IF(Калькулятор!G$6="","",Калькулятор!G42)</f>
        <v>6000</v>
      </c>
      <c r="N10" s="9">
        <f t="shared" si="1"/>
        <v>14000</v>
      </c>
      <c r="O10" s="9">
        <f t="shared" si="2"/>
        <v>30483</v>
      </c>
      <c r="P10" s="5"/>
    </row>
    <row r="11" spans="1:16" x14ac:dyDescent="0.35">
      <c r="A11" s="5"/>
      <c r="B11" s="31"/>
      <c r="C11" s="29"/>
      <c r="D11" s="29"/>
      <c r="E11" s="14" t="str">
        <f t="shared" si="0"/>
        <v/>
      </c>
      <c r="F11" s="22"/>
      <c r="G11" s="23"/>
      <c r="H11" s="23"/>
      <c r="I11" s="23"/>
      <c r="J11" s="23"/>
      <c r="K11" s="24" t="str">
        <f>IF(B11="","",F11*G11*1.1+H11+I11+J11)</f>
        <v/>
      </c>
      <c r="L11" s="23"/>
      <c r="M11" s="23"/>
      <c r="N11" s="9" t="str">
        <f t="shared" si="1"/>
        <v/>
      </c>
      <c r="O11" s="9" t="str">
        <f t="shared" si="2"/>
        <v/>
      </c>
      <c r="P11" s="5"/>
    </row>
    <row r="12" spans="1:16" x14ac:dyDescent="0.35">
      <c r="A12" s="5"/>
      <c r="B12" s="31"/>
      <c r="C12" s="29"/>
      <c r="D12" s="29"/>
      <c r="E12" s="14" t="str">
        <f t="shared" si="0"/>
        <v/>
      </c>
      <c r="F12" s="22"/>
      <c r="G12" s="23"/>
      <c r="H12" s="23"/>
      <c r="I12" s="23"/>
      <c r="J12" s="23"/>
      <c r="K12" s="24" t="str">
        <f>IF(B12="","",F12*G12*1.1+H12+I12+J12)</f>
        <v/>
      </c>
      <c r="L12" s="23"/>
      <c r="M12" s="23"/>
      <c r="N12" s="9" t="str">
        <f t="shared" si="1"/>
        <v/>
      </c>
      <c r="O12" s="9" t="str">
        <f t="shared" si="2"/>
        <v/>
      </c>
      <c r="P12" s="5"/>
    </row>
    <row r="13" spans="1:16" x14ac:dyDescent="0.35">
      <c r="A13" s="5"/>
      <c r="B13" s="31"/>
      <c r="C13" s="29"/>
      <c r="D13" s="29"/>
      <c r="E13" s="14" t="str">
        <f t="shared" si="0"/>
        <v/>
      </c>
      <c r="F13" s="22"/>
      <c r="G13" s="23"/>
      <c r="H13" s="23"/>
      <c r="I13" s="23"/>
      <c r="J13" s="23"/>
      <c r="K13" s="24" t="str">
        <f>IF(B13="","",F13*G13*1.1+H13+I13+J13)</f>
        <v/>
      </c>
      <c r="L13" s="23"/>
      <c r="M13" s="23"/>
      <c r="N13" s="9" t="str">
        <f t="shared" si="1"/>
        <v/>
      </c>
      <c r="O13" s="9" t="str">
        <f t="shared" si="2"/>
        <v/>
      </c>
      <c r="P13" s="5"/>
    </row>
    <row r="14" spans="1:16" x14ac:dyDescent="0.35">
      <c r="A14" s="5"/>
      <c r="B14" s="31"/>
      <c r="C14" s="29"/>
      <c r="D14" s="29"/>
      <c r="E14" s="14" t="str">
        <f t="shared" si="0"/>
        <v/>
      </c>
      <c r="F14" s="22"/>
      <c r="G14" s="23"/>
      <c r="H14" s="23"/>
      <c r="I14" s="23"/>
      <c r="J14" s="23"/>
      <c r="K14" s="24" t="str">
        <f>IF(B14="","",F14*G14*1.1+H14+I14+J14)</f>
        <v/>
      </c>
      <c r="L14" s="23"/>
      <c r="M14" s="23"/>
      <c r="N14" s="9" t="str">
        <f t="shared" si="1"/>
        <v/>
      </c>
      <c r="O14" s="9" t="str">
        <f t="shared" si="2"/>
        <v/>
      </c>
      <c r="P14" s="5"/>
    </row>
    <row r="15" spans="1:16" x14ac:dyDescent="0.35">
      <c r="A15" s="5"/>
      <c r="B15" s="31"/>
      <c r="C15" s="29"/>
      <c r="D15" s="29"/>
      <c r="E15" s="14" t="str">
        <f t="shared" si="0"/>
        <v/>
      </c>
      <c r="F15" s="22"/>
      <c r="G15" s="23"/>
      <c r="H15" s="23"/>
      <c r="I15" s="23"/>
      <c r="J15" s="23"/>
      <c r="K15" s="24" t="str">
        <f>IF(B15="","",F15*G15*1.1+H15+I15+J15)</f>
        <v/>
      </c>
      <c r="L15" s="23"/>
      <c r="M15" s="23"/>
      <c r="N15" s="9" t="str">
        <f t="shared" si="1"/>
        <v/>
      </c>
      <c r="O15" s="9" t="str">
        <f t="shared" si="2"/>
        <v/>
      </c>
      <c r="P15" s="5"/>
    </row>
    <row r="16" spans="1:16" ht="15" x14ac:dyDescent="0.35">
      <c r="A16" s="5"/>
      <c r="B16" s="25" t="s">
        <v>148</v>
      </c>
      <c r="C16" s="32"/>
      <c r="D16" s="32"/>
      <c r="E16" s="33">
        <f>SUM(E6:E15)</f>
        <v>45</v>
      </c>
      <c r="F16" s="32"/>
      <c r="G16" s="32"/>
      <c r="H16" s="32"/>
      <c r="I16" s="32"/>
      <c r="J16" s="32"/>
      <c r="K16" s="32"/>
      <c r="L16" s="32"/>
      <c r="M16" s="32"/>
      <c r="N16" s="26">
        <f>SUM(N6:N15)</f>
        <v>94000</v>
      </c>
      <c r="O16" s="26">
        <f>SUM(O6:O15)</f>
        <v>197055</v>
      </c>
      <c r="P16" s="5"/>
    </row>
    <row r="17" spans="1:16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x14ac:dyDescent="0.35">
      <c r="A18" s="5"/>
      <c r="B18" s="35" t="s">
        <v>149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5"/>
    </row>
    <row r="19" spans="1:16" x14ac:dyDescent="0.35">
      <c r="A19" s="5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5"/>
    </row>
    <row r="20" spans="1:16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  <row r="46" spans="1:16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</row>
    <row r="48" spans="1:16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</row>
    <row r="50" spans="1:16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</row>
    <row r="51" spans="1:16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</row>
    <row r="53" spans="1:16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</row>
    <row r="55" spans="1:16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</row>
    <row r="56" spans="1:16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</row>
    <row r="57" spans="1:16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</row>
    <row r="58" spans="1:16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</row>
    <row r="59" spans="1:16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spans="1:16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</row>
    <row r="61" spans="1:16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</row>
    <row r="62" spans="1:16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</row>
    <row r="64" spans="1:16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</row>
    <row r="65" spans="1:16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</row>
    <row r="66" spans="1:16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</row>
    <row r="67" spans="1:16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</row>
    <row r="68" spans="1:16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</row>
    <row r="70" spans="1:16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</row>
    <row r="72" spans="1:16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</row>
    <row r="74" spans="1:16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  <row r="79" spans="1:16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</row>
    <row r="80" spans="1:16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</row>
  </sheetData>
  <mergeCells count="1">
    <mergeCell ref="B18:O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10D0A"/>
  </sheetPr>
  <dimension ref="A1:E80"/>
  <sheetViews>
    <sheetView showGridLines="0" workbookViewId="0"/>
  </sheetViews>
  <sheetFormatPr defaultRowHeight="14.5" x14ac:dyDescent="0.35"/>
  <cols>
    <col min="1" max="1" width="3" customWidth="1"/>
    <col min="2" max="2" width="44" customWidth="1"/>
    <col min="3" max="3" width="15" customWidth="1"/>
    <col min="4" max="4" width="72" customWidth="1"/>
  </cols>
  <sheetData>
    <row r="1" spans="1:5" ht="30" customHeight="1" x14ac:dyDescent="0.35">
      <c r="A1" s="1"/>
      <c r="B1" s="2" t="s">
        <v>0</v>
      </c>
      <c r="C1" s="1"/>
      <c r="D1" s="1"/>
      <c r="E1" s="1"/>
    </row>
    <row r="2" spans="1:5" ht="44" customHeight="1" x14ac:dyDescent="0.35">
      <c r="A2" s="1"/>
      <c r="B2" s="3" t="s">
        <v>150</v>
      </c>
      <c r="C2" s="1"/>
      <c r="D2" s="1"/>
      <c r="E2" s="1"/>
    </row>
    <row r="3" spans="1:5" ht="30" customHeight="1" x14ac:dyDescent="0.35">
      <c r="A3" s="1"/>
      <c r="B3" s="4" t="s">
        <v>151</v>
      </c>
      <c r="C3" s="1"/>
      <c r="D3" s="1"/>
      <c r="E3" s="1"/>
    </row>
    <row r="4" spans="1:5" ht="12" customHeight="1" x14ac:dyDescent="0.35">
      <c r="A4" s="5"/>
      <c r="B4" s="5"/>
      <c r="C4" s="5"/>
      <c r="D4" s="5"/>
      <c r="E4" s="5"/>
    </row>
    <row r="5" spans="1:5" ht="46" customHeight="1" x14ac:dyDescent="0.35">
      <c r="A5" s="5"/>
      <c r="B5" s="17" t="s">
        <v>51</v>
      </c>
      <c r="C5" s="17" t="s">
        <v>152</v>
      </c>
      <c r="D5" s="17" t="s">
        <v>153</v>
      </c>
      <c r="E5" s="5"/>
    </row>
    <row r="6" spans="1:5" x14ac:dyDescent="0.35">
      <c r="A6" s="5"/>
      <c r="B6" s="34" t="s">
        <v>154</v>
      </c>
      <c r="C6" s="23">
        <v>3000</v>
      </c>
      <c r="D6" s="10" t="s">
        <v>155</v>
      </c>
      <c r="E6" s="5"/>
    </row>
    <row r="7" spans="1:5" ht="25" x14ac:dyDescent="0.35">
      <c r="A7" s="5"/>
      <c r="B7" s="34" t="s">
        <v>156</v>
      </c>
      <c r="C7" s="23">
        <v>45000</v>
      </c>
      <c r="D7" s="10" t="s">
        <v>157</v>
      </c>
      <c r="E7" s="5"/>
    </row>
    <row r="8" spans="1:5" x14ac:dyDescent="0.35">
      <c r="A8" s="5"/>
      <c r="B8" s="34" t="s">
        <v>158</v>
      </c>
      <c r="C8" s="23">
        <v>20000</v>
      </c>
      <c r="D8" s="10" t="s">
        <v>159</v>
      </c>
      <c r="E8" s="5"/>
    </row>
    <row r="9" spans="1:5" ht="25" x14ac:dyDescent="0.35">
      <c r="A9" s="5"/>
      <c r="B9" s="34" t="s">
        <v>160</v>
      </c>
      <c r="C9" s="23">
        <v>15000</v>
      </c>
      <c r="D9" s="10" t="s">
        <v>161</v>
      </c>
      <c r="E9" s="5"/>
    </row>
    <row r="10" spans="1:5" x14ac:dyDescent="0.35">
      <c r="A10" s="5"/>
      <c r="B10" s="34" t="s">
        <v>162</v>
      </c>
      <c r="C10" s="23">
        <v>50000</v>
      </c>
      <c r="D10" s="10" t="s">
        <v>163</v>
      </c>
      <c r="E10" s="5"/>
    </row>
    <row r="11" spans="1:5" x14ac:dyDescent="0.35">
      <c r="A11" s="5"/>
      <c r="B11" s="34" t="s">
        <v>164</v>
      </c>
      <c r="C11" s="23">
        <v>15000</v>
      </c>
      <c r="D11" s="10" t="s">
        <v>165</v>
      </c>
      <c r="E11" s="5"/>
    </row>
    <row r="12" spans="1:5" x14ac:dyDescent="0.35">
      <c r="A12" s="5"/>
      <c r="B12" s="34" t="s">
        <v>166</v>
      </c>
      <c r="C12" s="23">
        <v>50000</v>
      </c>
      <c r="D12" s="10" t="s">
        <v>167</v>
      </c>
      <c r="E12" s="5"/>
    </row>
    <row r="13" spans="1:5" x14ac:dyDescent="0.35">
      <c r="A13" s="5"/>
      <c r="B13" s="34" t="s">
        <v>168</v>
      </c>
      <c r="C13" s="23">
        <v>10000</v>
      </c>
      <c r="D13" s="10"/>
      <c r="E13" s="5"/>
    </row>
    <row r="14" spans="1:5" x14ac:dyDescent="0.35">
      <c r="A14" s="5"/>
      <c r="B14" s="34" t="s">
        <v>169</v>
      </c>
      <c r="C14" s="23">
        <v>15000</v>
      </c>
      <c r="D14" s="10"/>
      <c r="E14" s="5"/>
    </row>
    <row r="15" spans="1:5" x14ac:dyDescent="0.35">
      <c r="A15" s="5"/>
      <c r="B15" s="34" t="s">
        <v>170</v>
      </c>
      <c r="C15" s="23">
        <v>50000</v>
      </c>
      <c r="D15" s="10" t="s">
        <v>171</v>
      </c>
      <c r="E15" s="5"/>
    </row>
    <row r="16" spans="1:5" x14ac:dyDescent="0.35">
      <c r="A16" s="5"/>
      <c r="B16" s="34" t="s">
        <v>172</v>
      </c>
      <c r="C16" s="23">
        <v>10000</v>
      </c>
      <c r="D16" s="10"/>
      <c r="E16" s="5"/>
    </row>
    <row r="17" spans="1:5" x14ac:dyDescent="0.35">
      <c r="A17" s="5"/>
      <c r="B17" s="34" t="s">
        <v>173</v>
      </c>
      <c r="C17" s="23">
        <v>0</v>
      </c>
      <c r="D17" s="10"/>
      <c r="E17" s="5"/>
    </row>
    <row r="18" spans="1:5" ht="15" x14ac:dyDescent="0.35">
      <c r="A18" s="5"/>
      <c r="B18" s="25" t="s">
        <v>148</v>
      </c>
      <c r="C18" s="26">
        <f>SUM(C6:C17)</f>
        <v>283000</v>
      </c>
      <c r="D18" s="32"/>
      <c r="E18" s="5"/>
    </row>
    <row r="19" spans="1:5" x14ac:dyDescent="0.35">
      <c r="A19" s="5"/>
      <c r="B19" s="5"/>
      <c r="C19" s="5"/>
      <c r="D19" s="5"/>
      <c r="E19" s="5"/>
    </row>
    <row r="20" spans="1:5" x14ac:dyDescent="0.35">
      <c r="A20" s="5"/>
      <c r="B20" s="5"/>
      <c r="C20" s="5"/>
      <c r="D20" s="5"/>
      <c r="E20" s="5"/>
    </row>
    <row r="21" spans="1:5" x14ac:dyDescent="0.35">
      <c r="A21" s="5"/>
      <c r="B21" s="5"/>
      <c r="C21" s="5"/>
      <c r="D21" s="5"/>
      <c r="E21" s="5"/>
    </row>
    <row r="22" spans="1:5" x14ac:dyDescent="0.35">
      <c r="A22" s="5"/>
      <c r="B22" s="5"/>
      <c r="C22" s="5"/>
      <c r="D22" s="5"/>
      <c r="E22" s="5"/>
    </row>
    <row r="23" spans="1:5" x14ac:dyDescent="0.35">
      <c r="A23" s="5"/>
      <c r="B23" s="5"/>
      <c r="C23" s="5"/>
      <c r="D23" s="5"/>
      <c r="E23" s="5"/>
    </row>
    <row r="24" spans="1:5" x14ac:dyDescent="0.35">
      <c r="A24" s="5"/>
      <c r="B24" s="5"/>
      <c r="C24" s="5"/>
      <c r="D24" s="5"/>
      <c r="E24" s="5"/>
    </row>
    <row r="25" spans="1:5" x14ac:dyDescent="0.35">
      <c r="A25" s="5"/>
      <c r="B25" s="5"/>
      <c r="C25" s="5"/>
      <c r="D25" s="5"/>
      <c r="E25" s="5"/>
    </row>
    <row r="26" spans="1:5" x14ac:dyDescent="0.35">
      <c r="A26" s="5"/>
      <c r="B26" s="5"/>
      <c r="C26" s="5"/>
      <c r="D26" s="5"/>
      <c r="E26" s="5"/>
    </row>
    <row r="27" spans="1:5" x14ac:dyDescent="0.35">
      <c r="A27" s="5"/>
      <c r="B27" s="5"/>
      <c r="C27" s="5"/>
      <c r="D27" s="5"/>
      <c r="E27" s="5"/>
    </row>
    <row r="28" spans="1:5" x14ac:dyDescent="0.35">
      <c r="A28" s="5"/>
      <c r="B28" s="5"/>
      <c r="C28" s="5"/>
      <c r="D28" s="5"/>
      <c r="E28" s="5"/>
    </row>
    <row r="29" spans="1:5" x14ac:dyDescent="0.35">
      <c r="A29" s="5"/>
      <c r="B29" s="5"/>
      <c r="C29" s="5"/>
      <c r="D29" s="5"/>
      <c r="E29" s="5"/>
    </row>
    <row r="30" spans="1:5" x14ac:dyDescent="0.35">
      <c r="A30" s="5"/>
      <c r="B30" s="5"/>
      <c r="C30" s="5"/>
      <c r="D30" s="5"/>
      <c r="E30" s="5"/>
    </row>
    <row r="31" spans="1:5" x14ac:dyDescent="0.35">
      <c r="A31" s="5"/>
      <c r="B31" s="5"/>
      <c r="C31" s="5"/>
      <c r="D31" s="5"/>
      <c r="E31" s="5"/>
    </row>
    <row r="32" spans="1:5" x14ac:dyDescent="0.35">
      <c r="A32" s="5"/>
      <c r="B32" s="5"/>
      <c r="C32" s="5"/>
      <c r="D32" s="5"/>
      <c r="E32" s="5"/>
    </row>
    <row r="33" spans="1:5" x14ac:dyDescent="0.35">
      <c r="A33" s="5"/>
      <c r="B33" s="5"/>
      <c r="C33" s="5"/>
      <c r="D33" s="5"/>
      <c r="E33" s="5"/>
    </row>
    <row r="34" spans="1:5" x14ac:dyDescent="0.35">
      <c r="A34" s="5"/>
      <c r="B34" s="5"/>
      <c r="C34" s="5"/>
      <c r="D34" s="5"/>
      <c r="E34" s="5"/>
    </row>
    <row r="35" spans="1:5" x14ac:dyDescent="0.35">
      <c r="A35" s="5"/>
      <c r="B35" s="5"/>
      <c r="C35" s="5"/>
      <c r="D35" s="5"/>
      <c r="E35" s="5"/>
    </row>
    <row r="36" spans="1:5" x14ac:dyDescent="0.35">
      <c r="A36" s="5"/>
      <c r="B36" s="5"/>
      <c r="C36" s="5"/>
      <c r="D36" s="5"/>
      <c r="E36" s="5"/>
    </row>
    <row r="37" spans="1:5" x14ac:dyDescent="0.35">
      <c r="A37" s="5"/>
      <c r="B37" s="5"/>
      <c r="C37" s="5"/>
      <c r="D37" s="5"/>
      <c r="E37" s="5"/>
    </row>
    <row r="38" spans="1:5" x14ac:dyDescent="0.35">
      <c r="A38" s="5"/>
      <c r="B38" s="5"/>
      <c r="C38" s="5"/>
      <c r="D38" s="5"/>
      <c r="E38" s="5"/>
    </row>
    <row r="39" spans="1:5" x14ac:dyDescent="0.35">
      <c r="A39" s="5"/>
      <c r="B39" s="5"/>
      <c r="C39" s="5"/>
      <c r="D39" s="5"/>
      <c r="E39" s="5"/>
    </row>
    <row r="40" spans="1:5" x14ac:dyDescent="0.35">
      <c r="A40" s="5"/>
      <c r="B40" s="5"/>
      <c r="C40" s="5"/>
      <c r="D40" s="5"/>
      <c r="E40" s="5"/>
    </row>
    <row r="41" spans="1:5" x14ac:dyDescent="0.35">
      <c r="A41" s="5"/>
      <c r="B41" s="5"/>
      <c r="C41" s="5"/>
      <c r="D41" s="5"/>
      <c r="E41" s="5"/>
    </row>
    <row r="42" spans="1:5" x14ac:dyDescent="0.35">
      <c r="A42" s="5"/>
      <c r="B42" s="5"/>
      <c r="C42" s="5"/>
      <c r="D42" s="5"/>
      <c r="E42" s="5"/>
    </row>
    <row r="43" spans="1:5" x14ac:dyDescent="0.35">
      <c r="A43" s="5"/>
      <c r="B43" s="5"/>
      <c r="C43" s="5"/>
      <c r="D43" s="5"/>
      <c r="E43" s="5"/>
    </row>
    <row r="44" spans="1:5" x14ac:dyDescent="0.35">
      <c r="A44" s="5"/>
      <c r="B44" s="5"/>
      <c r="C44" s="5"/>
      <c r="D44" s="5"/>
      <c r="E44" s="5"/>
    </row>
    <row r="45" spans="1:5" x14ac:dyDescent="0.35">
      <c r="A45" s="5"/>
      <c r="B45" s="5"/>
      <c r="C45" s="5"/>
      <c r="D45" s="5"/>
      <c r="E45" s="5"/>
    </row>
    <row r="46" spans="1:5" x14ac:dyDescent="0.35">
      <c r="A46" s="5"/>
      <c r="B46" s="5"/>
      <c r="C46" s="5"/>
      <c r="D46" s="5"/>
      <c r="E46" s="5"/>
    </row>
    <row r="47" spans="1:5" x14ac:dyDescent="0.35">
      <c r="A47" s="5"/>
      <c r="B47" s="5"/>
      <c r="C47" s="5"/>
      <c r="D47" s="5"/>
      <c r="E47" s="5"/>
    </row>
    <row r="48" spans="1:5" x14ac:dyDescent="0.35">
      <c r="A48" s="5"/>
      <c r="B48" s="5"/>
      <c r="C48" s="5"/>
      <c r="D48" s="5"/>
      <c r="E48" s="5"/>
    </row>
    <row r="49" spans="1:5" x14ac:dyDescent="0.35">
      <c r="A49" s="5"/>
      <c r="B49" s="5"/>
      <c r="C49" s="5"/>
      <c r="D49" s="5"/>
      <c r="E49" s="5"/>
    </row>
    <row r="50" spans="1:5" x14ac:dyDescent="0.35">
      <c r="A50" s="5"/>
      <c r="B50" s="5"/>
      <c r="C50" s="5"/>
      <c r="D50" s="5"/>
      <c r="E50" s="5"/>
    </row>
    <row r="51" spans="1:5" x14ac:dyDescent="0.35">
      <c r="A51" s="5"/>
      <c r="B51" s="5"/>
      <c r="C51" s="5"/>
      <c r="D51" s="5"/>
      <c r="E51" s="5"/>
    </row>
    <row r="52" spans="1:5" x14ac:dyDescent="0.35">
      <c r="A52" s="5"/>
      <c r="B52" s="5"/>
      <c r="C52" s="5"/>
      <c r="D52" s="5"/>
      <c r="E52" s="5"/>
    </row>
    <row r="53" spans="1:5" x14ac:dyDescent="0.35">
      <c r="A53" s="5"/>
      <c r="B53" s="5"/>
      <c r="C53" s="5"/>
      <c r="D53" s="5"/>
      <c r="E53" s="5"/>
    </row>
    <row r="54" spans="1:5" x14ac:dyDescent="0.35">
      <c r="A54" s="5"/>
      <c r="B54" s="5"/>
      <c r="C54" s="5"/>
      <c r="D54" s="5"/>
      <c r="E54" s="5"/>
    </row>
    <row r="55" spans="1:5" x14ac:dyDescent="0.35">
      <c r="A55" s="5"/>
      <c r="B55" s="5"/>
      <c r="C55" s="5"/>
      <c r="D55" s="5"/>
      <c r="E55" s="5"/>
    </row>
    <row r="56" spans="1:5" x14ac:dyDescent="0.35">
      <c r="A56" s="5"/>
      <c r="B56" s="5"/>
      <c r="C56" s="5"/>
      <c r="D56" s="5"/>
      <c r="E56" s="5"/>
    </row>
    <row r="57" spans="1:5" x14ac:dyDescent="0.35">
      <c r="A57" s="5"/>
      <c r="B57" s="5"/>
      <c r="C57" s="5"/>
      <c r="D57" s="5"/>
      <c r="E57" s="5"/>
    </row>
    <row r="58" spans="1:5" x14ac:dyDescent="0.35">
      <c r="A58" s="5"/>
      <c r="B58" s="5"/>
      <c r="C58" s="5"/>
      <c r="D58" s="5"/>
      <c r="E58" s="5"/>
    </row>
    <row r="59" spans="1:5" x14ac:dyDescent="0.35">
      <c r="A59" s="5"/>
      <c r="B59" s="5"/>
      <c r="C59" s="5"/>
      <c r="D59" s="5"/>
      <c r="E59" s="5"/>
    </row>
    <row r="60" spans="1:5" x14ac:dyDescent="0.35">
      <c r="A60" s="5"/>
      <c r="B60" s="5"/>
      <c r="C60" s="5"/>
      <c r="D60" s="5"/>
      <c r="E60" s="5"/>
    </row>
    <row r="61" spans="1:5" x14ac:dyDescent="0.35">
      <c r="A61" s="5"/>
      <c r="B61" s="5"/>
      <c r="C61" s="5"/>
      <c r="D61" s="5"/>
      <c r="E61" s="5"/>
    </row>
    <row r="62" spans="1:5" x14ac:dyDescent="0.35">
      <c r="A62" s="5"/>
      <c r="B62" s="5"/>
      <c r="C62" s="5"/>
      <c r="D62" s="5"/>
      <c r="E62" s="5"/>
    </row>
    <row r="63" spans="1:5" x14ac:dyDescent="0.35">
      <c r="A63" s="5"/>
      <c r="B63" s="5"/>
      <c r="C63" s="5"/>
      <c r="D63" s="5"/>
      <c r="E63" s="5"/>
    </row>
    <row r="64" spans="1:5" x14ac:dyDescent="0.35">
      <c r="A64" s="5"/>
      <c r="B64" s="5"/>
      <c r="C64" s="5"/>
      <c r="D64" s="5"/>
      <c r="E64" s="5"/>
    </row>
    <row r="65" spans="1:5" x14ac:dyDescent="0.35">
      <c r="A65" s="5"/>
      <c r="B65" s="5"/>
      <c r="C65" s="5"/>
      <c r="D65" s="5"/>
      <c r="E65" s="5"/>
    </row>
    <row r="66" spans="1:5" x14ac:dyDescent="0.35">
      <c r="A66" s="5"/>
      <c r="B66" s="5"/>
      <c r="C66" s="5"/>
      <c r="D66" s="5"/>
      <c r="E66" s="5"/>
    </row>
    <row r="67" spans="1:5" x14ac:dyDescent="0.35">
      <c r="A67" s="5"/>
      <c r="B67" s="5"/>
      <c r="C67" s="5"/>
      <c r="D67" s="5"/>
      <c r="E67" s="5"/>
    </row>
    <row r="68" spans="1:5" x14ac:dyDescent="0.35">
      <c r="A68" s="5"/>
      <c r="B68" s="5"/>
      <c r="C68" s="5"/>
      <c r="D68" s="5"/>
      <c r="E68" s="5"/>
    </row>
    <row r="69" spans="1:5" x14ac:dyDescent="0.35">
      <c r="A69" s="5"/>
      <c r="B69" s="5"/>
      <c r="C69" s="5"/>
      <c r="D69" s="5"/>
      <c r="E69" s="5"/>
    </row>
    <row r="70" spans="1:5" x14ac:dyDescent="0.35">
      <c r="A70" s="5"/>
      <c r="B70" s="5"/>
      <c r="C70" s="5"/>
      <c r="D70" s="5"/>
      <c r="E70" s="5"/>
    </row>
    <row r="71" spans="1:5" x14ac:dyDescent="0.35">
      <c r="A71" s="5"/>
      <c r="B71" s="5"/>
      <c r="C71" s="5"/>
      <c r="D71" s="5"/>
      <c r="E71" s="5"/>
    </row>
    <row r="72" spans="1:5" x14ac:dyDescent="0.35">
      <c r="A72" s="5"/>
      <c r="B72" s="5"/>
      <c r="C72" s="5"/>
      <c r="D72" s="5"/>
      <c r="E72" s="5"/>
    </row>
    <row r="73" spans="1:5" x14ac:dyDescent="0.35">
      <c r="A73" s="5"/>
      <c r="B73" s="5"/>
      <c r="C73" s="5"/>
      <c r="D73" s="5"/>
      <c r="E73" s="5"/>
    </row>
    <row r="74" spans="1:5" x14ac:dyDescent="0.35">
      <c r="A74" s="5"/>
      <c r="B74" s="5"/>
      <c r="C74" s="5"/>
      <c r="D74" s="5"/>
      <c r="E74" s="5"/>
    </row>
    <row r="75" spans="1:5" x14ac:dyDescent="0.35">
      <c r="A75" s="5"/>
      <c r="B75" s="5"/>
      <c r="C75" s="5"/>
      <c r="D75" s="5"/>
      <c r="E75" s="5"/>
    </row>
    <row r="76" spans="1:5" x14ac:dyDescent="0.35">
      <c r="A76" s="5"/>
      <c r="B76" s="5"/>
      <c r="C76" s="5"/>
      <c r="D76" s="5"/>
      <c r="E76" s="5"/>
    </row>
    <row r="77" spans="1:5" x14ac:dyDescent="0.35">
      <c r="A77" s="5"/>
      <c r="B77" s="5"/>
      <c r="C77" s="5"/>
      <c r="D77" s="5"/>
      <c r="E77" s="5"/>
    </row>
    <row r="78" spans="1:5" x14ac:dyDescent="0.35">
      <c r="A78" s="5"/>
      <c r="B78" s="5"/>
      <c r="C78" s="5"/>
      <c r="D78" s="5"/>
      <c r="E78" s="5"/>
    </row>
    <row r="79" spans="1:5" x14ac:dyDescent="0.35">
      <c r="A79" s="5"/>
      <c r="B79" s="5"/>
      <c r="C79" s="5"/>
      <c r="D79" s="5"/>
      <c r="E79" s="5"/>
    </row>
    <row r="80" spans="1:5" x14ac:dyDescent="0.35">
      <c r="A80" s="5"/>
      <c r="B80" s="5"/>
      <c r="C80" s="5"/>
      <c r="D80" s="5"/>
      <c r="E8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Как пользоваться</vt:lpstr>
      <vt:lpstr>Итог</vt:lpstr>
      <vt:lpstr>Калькулятор</vt:lpstr>
      <vt:lpstr>Капсула</vt:lpstr>
      <vt:lpstr>Запуск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Курышев</cp:lastModifiedBy>
  <dcterms:created xsi:type="dcterms:W3CDTF">2026-10-15T21:08:07Z</dcterms:created>
  <dcterms:modified xsi:type="dcterms:W3CDTF">2026-10-15T21:14:26Z</dcterms:modified>
</cp:coreProperties>
</file>